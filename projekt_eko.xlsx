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esktop\studia\magisterka\sem2\ekonometria przestrzenna\projekt\"/>
    </mc:Choice>
  </mc:AlternateContent>
  <xr:revisionPtr revIDLastSave="0" documentId="13_ncr:1_{15D7B88B-8E13-487E-945A-BCA03681C0D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PIS" sheetId="1" r:id="rId1"/>
    <sheet name="dochod_os" sheetId="2" r:id="rId2"/>
    <sheet name="liczba_os" sheetId="4" r:id="rId3"/>
    <sheet name="pow_os_m2" sheetId="5" r:id="rId4"/>
    <sheet name="euklid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5" l="1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2" i="5"/>
  <c r="Z3" i="5"/>
  <c r="Z5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Y3" i="4" s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AA11" i="4" l="1"/>
  <c r="Y5" i="4"/>
  <c r="AA12" i="4" s="1"/>
  <c r="AA2" i="4"/>
  <c r="Y3" i="2"/>
  <c r="Y5" i="2"/>
  <c r="AA5" i="2" s="1"/>
  <c r="AA7" i="4" l="1"/>
  <c r="AA6" i="4"/>
  <c r="AA17" i="4"/>
  <c r="AA14" i="4"/>
  <c r="AA5" i="4"/>
  <c r="AA9" i="4"/>
  <c r="AA10" i="4"/>
  <c r="AA4" i="4"/>
  <c r="AA15" i="4"/>
  <c r="AA8" i="4"/>
  <c r="AA16" i="4"/>
  <c r="AA3" i="4"/>
  <c r="AA13" i="4"/>
  <c r="AA17" i="2"/>
  <c r="AA16" i="2"/>
  <c r="AA2" i="2"/>
  <c r="AA13" i="2"/>
  <c r="AA11" i="2"/>
  <c r="AA12" i="2"/>
  <c r="AA6" i="2"/>
  <c r="AA4" i="2"/>
  <c r="AA7" i="2"/>
  <c r="AA15" i="2"/>
  <c r="AA8" i="2"/>
  <c r="AA3" i="2"/>
  <c r="AA9" i="2"/>
  <c r="AA14" i="2"/>
  <c r="AA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BDL</author>
  </authors>
  <commentList>
    <comment ref="W2" authorId="0" shapeId="0" xr:uid="{00000000-0006-0000-0100-000002000000}">
      <text>
        <r>
          <rPr>
            <sz val="11"/>
            <rFont val="Calibri"/>
            <family val="2"/>
            <charset val="238"/>
          </rPr>
          <t>n</t>
        </r>
      </text>
    </comment>
    <comment ref="W3" authorId="0" shapeId="0" xr:uid="{00000000-0006-0000-0100-000003000000}">
      <text>
        <r>
          <rPr>
            <sz val="11"/>
            <rFont val="Calibri"/>
            <family val="2"/>
            <charset val="238"/>
          </rPr>
          <t>n</t>
        </r>
      </text>
    </comment>
    <comment ref="W4" authorId="0" shapeId="0" xr:uid="{00000000-0006-0000-0100-000004000000}">
      <text>
        <r>
          <rPr>
            <sz val="11"/>
            <rFont val="Calibri"/>
            <family val="2"/>
            <charset val="238"/>
          </rPr>
          <t>n</t>
        </r>
      </text>
    </comment>
    <comment ref="W5" authorId="0" shapeId="0" xr:uid="{00000000-0006-0000-0100-000005000000}">
      <text>
        <r>
          <rPr>
            <sz val="11"/>
            <rFont val="Calibri"/>
            <family val="2"/>
            <charset val="238"/>
          </rPr>
          <t>n</t>
        </r>
      </text>
    </comment>
    <comment ref="W6" authorId="0" shapeId="0" xr:uid="{00000000-0006-0000-0100-000006000000}">
      <text>
        <r>
          <rPr>
            <sz val="11"/>
            <rFont val="Calibri"/>
            <family val="2"/>
            <charset val="238"/>
          </rPr>
          <t>n</t>
        </r>
      </text>
    </comment>
    <comment ref="W7" authorId="0" shapeId="0" xr:uid="{00000000-0006-0000-0100-000007000000}">
      <text>
        <r>
          <rPr>
            <sz val="11"/>
            <rFont val="Calibri"/>
            <family val="2"/>
            <charset val="238"/>
          </rPr>
          <t>n</t>
        </r>
      </text>
    </comment>
    <comment ref="W8" authorId="0" shapeId="0" xr:uid="{00000000-0006-0000-0100-000008000000}">
      <text>
        <r>
          <rPr>
            <sz val="11"/>
            <rFont val="Calibri"/>
            <family val="2"/>
            <charset val="238"/>
          </rPr>
          <t>n</t>
        </r>
      </text>
    </comment>
    <comment ref="U9" authorId="0" shapeId="0" xr:uid="{00000000-0006-0000-0100-000009000000}">
      <text>
        <r>
          <rPr>
            <sz val="11"/>
            <rFont val="Calibri"/>
            <family val="2"/>
            <charset val="238"/>
          </rPr>
          <t>x</t>
        </r>
      </text>
    </comment>
    <comment ref="W9" authorId="0" shapeId="0" xr:uid="{00000000-0006-0000-0100-00000A000000}">
      <text>
        <r>
          <rPr>
            <sz val="11"/>
            <rFont val="Calibri"/>
            <family val="2"/>
            <charset val="238"/>
          </rPr>
          <t>n</t>
        </r>
      </text>
    </comment>
    <comment ref="W10" authorId="0" shapeId="0" xr:uid="{00000000-0006-0000-0100-00000B000000}">
      <text>
        <r>
          <rPr>
            <sz val="11"/>
            <rFont val="Calibri"/>
            <family val="2"/>
            <charset val="238"/>
          </rPr>
          <t>n</t>
        </r>
      </text>
    </comment>
    <comment ref="W11" authorId="0" shapeId="0" xr:uid="{00000000-0006-0000-0100-00000C000000}">
      <text>
        <r>
          <rPr>
            <sz val="11"/>
            <rFont val="Calibri"/>
            <family val="2"/>
            <charset val="238"/>
          </rPr>
          <t>n</t>
        </r>
      </text>
    </comment>
    <comment ref="W12" authorId="0" shapeId="0" xr:uid="{00000000-0006-0000-0100-00000D000000}">
      <text>
        <r>
          <rPr>
            <sz val="11"/>
            <rFont val="Calibri"/>
            <family val="2"/>
            <charset val="238"/>
          </rPr>
          <t>n</t>
        </r>
      </text>
    </comment>
    <comment ref="W13" authorId="0" shapeId="0" xr:uid="{00000000-0006-0000-0100-00000E000000}">
      <text>
        <r>
          <rPr>
            <sz val="11"/>
            <rFont val="Calibri"/>
            <family val="2"/>
            <charset val="238"/>
          </rPr>
          <t>n</t>
        </r>
      </text>
    </comment>
    <comment ref="W14" authorId="0" shapeId="0" xr:uid="{00000000-0006-0000-0100-00000F000000}">
      <text>
        <r>
          <rPr>
            <sz val="11"/>
            <rFont val="Calibri"/>
            <family val="2"/>
            <charset val="238"/>
          </rPr>
          <t>n</t>
        </r>
      </text>
    </comment>
    <comment ref="W15" authorId="0" shapeId="0" xr:uid="{00000000-0006-0000-0100-000010000000}">
      <text>
        <r>
          <rPr>
            <sz val="11"/>
            <rFont val="Calibri"/>
            <family val="2"/>
            <charset val="238"/>
          </rPr>
          <t>n</t>
        </r>
      </text>
    </comment>
    <comment ref="W16" authorId="0" shapeId="0" xr:uid="{00000000-0006-0000-0100-000011000000}">
      <text>
        <r>
          <rPr>
            <sz val="11"/>
            <rFont val="Calibri"/>
            <family val="2"/>
            <charset val="238"/>
          </rPr>
          <t>n</t>
        </r>
      </text>
    </comment>
    <comment ref="W17" authorId="0" shapeId="0" xr:uid="{00000000-0006-0000-0100-000012000000}">
      <text>
        <r>
          <rPr>
            <sz val="11"/>
            <rFont val="Calibri"/>
            <family val="2"/>
            <charset val="238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BDL</author>
  </authors>
  <commentList>
    <comment ref="W2" authorId="0" shapeId="0" xr:uid="{857E8421-DA3C-4517-BAC3-45E9826166F4}">
      <text>
        <r>
          <rPr>
            <sz val="11"/>
            <rFont val="Calibri"/>
            <family val="2"/>
            <charset val="238"/>
          </rPr>
          <t>n</t>
        </r>
      </text>
    </comment>
    <comment ref="W3" authorId="0" shapeId="0" xr:uid="{FBA909B7-EF1B-4380-B330-40AF5FB3431B}">
      <text>
        <r>
          <rPr>
            <sz val="11"/>
            <rFont val="Calibri"/>
            <family val="2"/>
            <charset val="238"/>
          </rPr>
          <t>n</t>
        </r>
      </text>
    </comment>
    <comment ref="W4" authorId="0" shapeId="0" xr:uid="{1C5E4EB3-7E86-4521-B335-CC62AF2728E1}">
      <text>
        <r>
          <rPr>
            <sz val="11"/>
            <rFont val="Calibri"/>
            <family val="2"/>
            <charset val="238"/>
          </rPr>
          <t>n</t>
        </r>
      </text>
    </comment>
    <comment ref="W5" authorId="0" shapeId="0" xr:uid="{1F5EC95D-8102-484F-B87C-504C2C38635A}">
      <text>
        <r>
          <rPr>
            <sz val="11"/>
            <rFont val="Calibri"/>
            <family val="2"/>
            <charset val="238"/>
          </rPr>
          <t>n</t>
        </r>
      </text>
    </comment>
    <comment ref="W6" authorId="0" shapeId="0" xr:uid="{7D5B778F-CA43-417B-A282-52519EFD0608}">
      <text>
        <r>
          <rPr>
            <sz val="11"/>
            <rFont val="Calibri"/>
            <family val="2"/>
            <charset val="238"/>
          </rPr>
          <t>n</t>
        </r>
      </text>
    </comment>
    <comment ref="W7" authorId="0" shapeId="0" xr:uid="{50198B10-A554-4A87-AF05-0FAF5BD93EC6}">
      <text>
        <r>
          <rPr>
            <sz val="11"/>
            <rFont val="Calibri"/>
            <family val="2"/>
            <charset val="238"/>
          </rPr>
          <t>n</t>
        </r>
      </text>
    </comment>
    <comment ref="W8" authorId="0" shapeId="0" xr:uid="{0F4F2DE2-4AD0-45F9-90E1-2046384BD1BD}">
      <text>
        <r>
          <rPr>
            <sz val="11"/>
            <rFont val="Calibri"/>
            <family val="2"/>
            <charset val="238"/>
          </rPr>
          <t>n</t>
        </r>
      </text>
    </comment>
    <comment ref="W9" authorId="0" shapeId="0" xr:uid="{22F27FDF-169C-4175-AB96-8321CCC72EF7}">
      <text>
        <r>
          <rPr>
            <sz val="11"/>
            <rFont val="Calibri"/>
            <family val="2"/>
            <charset val="238"/>
          </rPr>
          <t>n</t>
        </r>
      </text>
    </comment>
    <comment ref="W10" authorId="0" shapeId="0" xr:uid="{D34A3702-AF9D-4E3F-9142-3752AEE869CB}">
      <text>
        <r>
          <rPr>
            <sz val="11"/>
            <rFont val="Calibri"/>
            <family val="2"/>
            <charset val="238"/>
          </rPr>
          <t>n</t>
        </r>
      </text>
    </comment>
    <comment ref="W11" authorId="0" shapeId="0" xr:uid="{082AC751-3568-4DE9-A09B-ECDF7BC6DC12}">
      <text>
        <r>
          <rPr>
            <sz val="11"/>
            <rFont val="Calibri"/>
            <family val="2"/>
            <charset val="238"/>
          </rPr>
          <t>n</t>
        </r>
      </text>
    </comment>
    <comment ref="W12" authorId="0" shapeId="0" xr:uid="{DAA14754-9E8B-4699-8422-BABD9EBDA09D}">
      <text>
        <r>
          <rPr>
            <sz val="11"/>
            <rFont val="Calibri"/>
            <family val="2"/>
            <charset val="238"/>
          </rPr>
          <t>n</t>
        </r>
      </text>
    </comment>
    <comment ref="W13" authorId="0" shapeId="0" xr:uid="{2A212FC5-C0E2-450A-BC3C-819F9A28CDB0}">
      <text>
        <r>
          <rPr>
            <sz val="11"/>
            <rFont val="Calibri"/>
            <family val="2"/>
            <charset val="238"/>
          </rPr>
          <t>n</t>
        </r>
      </text>
    </comment>
    <comment ref="W14" authorId="0" shapeId="0" xr:uid="{6EE5BBD0-AF78-4F5C-B62B-47AD34B9FDBF}">
      <text>
        <r>
          <rPr>
            <sz val="11"/>
            <rFont val="Calibri"/>
            <family val="2"/>
            <charset val="238"/>
          </rPr>
          <t>n</t>
        </r>
      </text>
    </comment>
    <comment ref="W15" authorId="0" shapeId="0" xr:uid="{604D48A9-0C51-4EF5-97C8-90188A03FCA9}">
      <text>
        <r>
          <rPr>
            <sz val="11"/>
            <rFont val="Calibri"/>
            <family val="2"/>
            <charset val="238"/>
          </rPr>
          <t>n</t>
        </r>
      </text>
    </comment>
    <comment ref="W16" authorId="0" shapeId="0" xr:uid="{E127363A-B2F5-4710-B625-CE3069EAE194}">
      <text>
        <r>
          <rPr>
            <sz val="11"/>
            <rFont val="Calibri"/>
            <family val="2"/>
            <charset val="238"/>
          </rPr>
          <t>n</t>
        </r>
      </text>
    </comment>
    <comment ref="W17" authorId="0" shapeId="0" xr:uid="{6A9ABFEC-71C5-4A14-828B-E1F8F1806C33}">
      <text>
        <r>
          <rPr>
            <sz val="11"/>
            <rFont val="Calibri"/>
            <family val="2"/>
            <charset val="238"/>
          </rPr>
          <t>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BDL</author>
  </authors>
  <commentList>
    <comment ref="X2" authorId="0" shapeId="0" xr:uid="{3B5D28A6-4DCE-4087-AB5D-7DAB77CBE6E9}">
      <text>
        <r>
          <rPr>
            <sz val="11"/>
            <rFont val="Calibri"/>
            <family val="2"/>
            <charset val="238"/>
          </rPr>
          <t>n</t>
        </r>
      </text>
    </comment>
    <comment ref="X3" authorId="0" shapeId="0" xr:uid="{DE6866E2-C50A-4B39-893E-0F4C9A1913D4}">
      <text>
        <r>
          <rPr>
            <sz val="11"/>
            <rFont val="Calibri"/>
            <family val="2"/>
            <charset val="238"/>
          </rPr>
          <t>n</t>
        </r>
      </text>
    </comment>
    <comment ref="X4" authorId="0" shapeId="0" xr:uid="{4FBBCF71-A790-4419-B49F-F9B7B97C0029}">
      <text>
        <r>
          <rPr>
            <sz val="11"/>
            <rFont val="Calibri"/>
            <family val="2"/>
            <charset val="238"/>
          </rPr>
          <t>n</t>
        </r>
      </text>
    </comment>
    <comment ref="X5" authorId="0" shapeId="0" xr:uid="{4529C982-ADC0-4EA4-8E4C-4CDC9D2A9740}">
      <text>
        <r>
          <rPr>
            <sz val="11"/>
            <rFont val="Calibri"/>
            <family val="2"/>
            <charset val="238"/>
          </rPr>
          <t>n</t>
        </r>
      </text>
    </comment>
    <comment ref="X6" authorId="0" shapeId="0" xr:uid="{6B2714A3-4AE5-4BF2-9D84-4ADDA88BDB6F}">
      <text>
        <r>
          <rPr>
            <sz val="11"/>
            <rFont val="Calibri"/>
            <family val="2"/>
            <charset val="238"/>
          </rPr>
          <t>n</t>
        </r>
      </text>
    </comment>
    <comment ref="X7" authorId="0" shapeId="0" xr:uid="{AA2A5031-1C0D-4F3E-8EBF-B1DD9AF99631}">
      <text>
        <r>
          <rPr>
            <sz val="11"/>
            <rFont val="Calibri"/>
            <family val="2"/>
            <charset val="238"/>
          </rPr>
          <t>n</t>
        </r>
      </text>
    </comment>
    <comment ref="X8" authorId="0" shapeId="0" xr:uid="{9E1EF795-FB25-4536-9845-9988BD2F5813}">
      <text>
        <r>
          <rPr>
            <sz val="11"/>
            <rFont val="Calibri"/>
            <family val="2"/>
            <charset val="238"/>
          </rPr>
          <t>n</t>
        </r>
      </text>
    </comment>
    <comment ref="X9" authorId="0" shapeId="0" xr:uid="{98249179-2561-47BA-87C4-3A525CD36527}">
      <text>
        <r>
          <rPr>
            <sz val="11"/>
            <rFont val="Calibri"/>
            <family val="2"/>
            <charset val="238"/>
          </rPr>
          <t>n</t>
        </r>
      </text>
    </comment>
    <comment ref="X10" authorId="0" shapeId="0" xr:uid="{1A9B3049-3794-4959-9741-B05AF70DD45F}">
      <text>
        <r>
          <rPr>
            <sz val="11"/>
            <rFont val="Calibri"/>
            <family val="2"/>
            <charset val="238"/>
          </rPr>
          <t>n</t>
        </r>
      </text>
    </comment>
    <comment ref="X11" authorId="0" shapeId="0" xr:uid="{84AC9181-F1BF-4983-B326-3F8F05833902}">
      <text>
        <r>
          <rPr>
            <sz val="11"/>
            <rFont val="Calibri"/>
            <family val="2"/>
            <charset val="238"/>
          </rPr>
          <t>n</t>
        </r>
      </text>
    </comment>
    <comment ref="X12" authorId="0" shapeId="0" xr:uid="{8E192BF9-786A-4AD1-B276-56CC4CA31E60}">
      <text>
        <r>
          <rPr>
            <sz val="11"/>
            <rFont val="Calibri"/>
            <family val="2"/>
            <charset val="238"/>
          </rPr>
          <t>n</t>
        </r>
      </text>
    </comment>
    <comment ref="X13" authorId="0" shapeId="0" xr:uid="{0AC17B15-A86C-4111-B090-2859C2BE77FE}">
      <text>
        <r>
          <rPr>
            <sz val="11"/>
            <rFont val="Calibri"/>
            <family val="2"/>
            <charset val="238"/>
          </rPr>
          <t>n</t>
        </r>
      </text>
    </comment>
    <comment ref="X14" authorId="0" shapeId="0" xr:uid="{A5D461A4-9837-4996-97C7-63524308C896}">
      <text>
        <r>
          <rPr>
            <sz val="11"/>
            <rFont val="Calibri"/>
            <family val="2"/>
            <charset val="238"/>
          </rPr>
          <t>n</t>
        </r>
      </text>
    </comment>
    <comment ref="X15" authorId="0" shapeId="0" xr:uid="{F8F630D4-535E-4773-B930-D80AE1956583}">
      <text>
        <r>
          <rPr>
            <sz val="11"/>
            <rFont val="Calibri"/>
            <family val="2"/>
            <charset val="238"/>
          </rPr>
          <t>n</t>
        </r>
      </text>
    </comment>
    <comment ref="X16" authorId="0" shapeId="0" xr:uid="{A4455E9F-369B-4098-9B9C-2F3382C5AAD4}">
      <text>
        <r>
          <rPr>
            <sz val="11"/>
            <rFont val="Calibri"/>
            <family val="2"/>
            <charset val="238"/>
          </rPr>
          <t>n</t>
        </r>
      </text>
    </comment>
    <comment ref="X17" authorId="0" shapeId="0" xr:uid="{EBCD8115-7DC5-4732-B198-612247FAB40C}">
      <text>
        <r>
          <rPr>
            <sz val="11"/>
            <rFont val="Calibri"/>
            <family val="2"/>
            <charset val="238"/>
          </rPr>
          <t>n</t>
        </r>
      </text>
    </comment>
  </commentList>
</comments>
</file>

<file path=xl/sharedStrings.xml><?xml version="1.0" encoding="utf-8"?>
<sst xmlns="http://schemas.openxmlformats.org/spreadsheetml/2006/main" count="158" uniqueCount="93">
  <si>
    <t>Kategoria:</t>
  </si>
  <si>
    <t>LUDNOŚĆ</t>
  </si>
  <si>
    <t>Od roku 2020 bazą wyjściową bilansu stanu i struktury ludności są wyniki NSP 2021. W związku z tym dane jak i wskaźniki odnoszące się do liczby i struktury ludności (płeć, grupy wieku) od 2020 roku zostały przeliczone zgodnie z bilansem przygotowanym w oparciu o wyniki NSP 2021. Bilanse liczby i struktury ludności w gminach imiennie opracowane w oparciu o wyniki Narodowych Spisów Powszechnych z uwzględnieniem zmian spowodowanych ruchem naturalnym (urodzenia i zgony), migracjami ludności (na pobyt stały i czasowy) oraz przemieszczeniami związanymi ze zmianami administracyjnymi. Dane o ludności w miejscowościach na podstawie rejestru PESEL. Dane o zarejestrowanych małżeństwach, urodzeniach i zgonach pochodzące ze sprawozdawczości urzędów stanu cywilnego. Dane o orzeczonych rozwodach i separacjach pochodzące ze sprawozdawczości sądów. Dane o migracjach wewnętrznych i zagranicznych na pobyt stały pochodzą z Ministerstwa Spraw Wewnętrznych i Administracji. Prognoza ludności na podstawie badania GUS.</t>
  </si>
  <si>
    <t>Grupa:</t>
  </si>
  <si>
    <t>GOSPODARSTWA DOMOWE</t>
  </si>
  <si>
    <t>Dane opracowane na podstawie reprezentacyjnego badania budżetów gospodarstw domowych, które stanowi podstawowe źródło informacji o warunkach życia ludności, tj. poziomie i strukturze dochodu rozporządzalnego, wydatków, spożycia, wyposażeniu gospodarstw domowych w przedmioty trwałego użytkowania oraz zagrożeniu ubóstwem.  Badaniem objęte są wszystkie prywatne gospodarstwa domowe, z wyjątkiem zamieszkujących obiekty zbiorowego zakwaterowania oraz gospodarstw członków korpusu dyplomatycznego państw obcych. Jednostką badania jest gospodarstwo domowe jedno- lub wieloosobowe. Liczba wylosowanych do badania mieszkań ulegała zmianie. Począwszy od 2006 r. próba wynosi ok. 37 tys. mieszkań, od 2021 r. - około 34 tys., a od 2022 r. - około 30 tys. mieszkań. Liczba zbadanych gospodarstw domowych stanowi około 0,2% ogólnej liczby gospodarstw domowych w Polsce. Więcej informacji nt. badania można uzyskać pod adresem:   https://stat.gov.pl/obszary-tematyczne/warunki-zycia/dochody-wydatki-i-warunki-zycia-ludnosci/budzety-gospodarstw-domowych-w-2024-r-,9,23.html; https://stat.gov.pl/obszary-tematyczne/warunki-zycia/dochody-wydatki-i-warunki-zycia-ludnosci/zeszyt-metodologiczny-badanie-budzetow-gospodarstw-domowych,10,3.html. W celu zachowania relacji między strukturą badanej zbiorowości a strukturą społeczno-demograficzną zbiorowości generalnej wyniki z badania budżetów gospodarstw domowych: - do 2002 r. były przeważone danymi o gospodarstwach domowych wg liczby osób z badania aktywności ekonomicznej ludności BAEL; - za lata 2003-2011 były przeważone strukturą gospodarstw domowych według liczby osób i miejsca zamieszkania pochodzącą z NSP 2002; - od 2012 r. są przeważane strukturą gospodarstw domowych według liczby osób i miejsca zamieszkania pochodzącą z NSP 2011; za lata 2021 - 2025 przeważone zostały strukturą gospodarstw domowych według liczby osób, miejsca zamieszkania, wieku i płci pochodzącą z wyników NSP2021, w związku z czym nie są one wprost porównywalne z danymi za lata wcześniejsze, które zostały uogólnione w oparciu o wyniki NSP 2011. W związku z uaktualnionym uogólnieniem wyniki za lata 2021-2022 różnią się od wcześniej publikowanych, przy uogólnieniu których uwzględniono tylko informacje o liczbie osób i miejscu zamieszkania (bez informacji o wieku i płci) pochodzące z NSP2021. Więcej informacji na ten temat można uzyskać pod adresem: https://stat.gov.pl/aktualnosci/informacja-na-temat-aktualizacji-sposobu-uogolniania-wynikow-w-badaniu-budzetow-gospodarstw-domowych,527,1.html</t>
  </si>
  <si>
    <t>Podgrupa:</t>
  </si>
  <si>
    <t>Przeciętny miesięczny dochód rozporządzalny na 1 osobę</t>
  </si>
  <si>
    <t>Suma bieżących dochodów gospodarstw domowych z poszczególnych źródeł, pomniejszona o zaliczki na podatek dochodowy od osób fizycznych płacone przez płatnika w imieniu podatnika, o podatki od dochodów z własności, podatki płacone przez osoby pracujące na własny rachunek, w tym przedstawicieli wolnych zawodów i osób użytkujących gospodarstwo indywidualne w rolnictwie oraz o składki na ubezpieczenie społeczne i zdrowotne. W skład dochodu rozporządzalnego wchodzą dochody pieniężne i niepieniężne, w tym spożycie naturalne oraz towary i usługi otrzymane nieodpłatnie. Dane za lata 2021 - 2024 przeważone zostały strukturą gospodarstw domowych według liczby osób, miejsca zamieszkania, wieku i płci, pochodzącą z wyników NSP2021, w związku z czym nie są one wprost porównywalne z danymi za lata wcześniejsze, które zostały uogólnione w oparciu o wyniki NSP 2011. W związku z uaktualnionym uogólnieniem wyniki za lata 2021-2022 różnią się od wcześniej publikowanych, przy uogólnieniu których uwzględniono tylko informacje o liczbie osób i miejscu zamieszkania (bez informacji o wieku i płci) pochodzące z NSP2021.</t>
  </si>
  <si>
    <t>Data ostatniej aktualizacji:</t>
  </si>
  <si>
    <t>04.12.2025</t>
  </si>
  <si>
    <t>Wymiary:</t>
  </si>
  <si>
    <t>Rodzaje dochodów;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</si>
  <si>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</si>
  <si>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</si>
  <si>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</si>
  <si>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</si>
  <si>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</si>
  <si>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</si>
  <si>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</si>
  <si>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</si>
  <si>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</si>
  <si>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</si>
  <si>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</si>
  <si>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</si>
  <si>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</si>
  <si>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</si>
  <si>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</si>
  <si>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</si>
  <si>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</si>
  <si>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</si>
  <si>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</si>
  <si>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</si>
  <si>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</si>
  <si>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</si>
  <si>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</si>
  <si>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</si>
  <si>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</si>
  <si>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</si>
  <si>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</si>
  <si>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</si>
  <si>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</si>
  <si>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</si>
  <si>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</si>
  <si>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</si>
  <si>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</si>
  <si>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</si>
  <si>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</si>
  <si>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</si>
  <si>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</si>
  <si>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</si>
  <si>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</si>
  <si>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</si>
  <si>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</si>
  <si>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</si>
  <si>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</si>
  <si>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</si>
  <si>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</si>
  <si>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</si>
  <si>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</si>
  <si>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</si>
  <si>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</si>
  <si>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</si>
  <si>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</si>
  <si>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</si>
  <si>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</si>
  <si>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</si>
  <si>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</si>
  <si>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średnia 2011-2019</t>
  </si>
  <si>
    <t>średnia</t>
  </si>
  <si>
    <t>odchylenie</t>
  </si>
  <si>
    <t>pow_os_m2</t>
  </si>
  <si>
    <t>dochod_os</t>
  </si>
  <si>
    <t>area</t>
  </si>
  <si>
    <t>hh_size</t>
  </si>
  <si>
    <t>woje</t>
  </si>
  <si>
    <t>kujawsko-pomorskie</t>
  </si>
  <si>
    <t>lubelskie</t>
  </si>
  <si>
    <t>lubuskie</t>
  </si>
  <si>
    <t>mazowieckie</t>
  </si>
  <si>
    <t>opolskie</t>
  </si>
  <si>
    <t>podkarpackie</t>
  </si>
  <si>
    <t>podlaskie</t>
  </si>
  <si>
    <t>pomorskie</t>
  </si>
  <si>
    <t>wielkopolskie</t>
  </si>
  <si>
    <t>zachodniopomorskie</t>
  </si>
  <si>
    <t>wojewodztwo</t>
  </si>
  <si>
    <t>dolnośląskie</t>
  </si>
  <si>
    <t>łódzkie</t>
  </si>
  <si>
    <t>małopolskie</t>
  </si>
  <si>
    <t>śląskie</t>
  </si>
  <si>
    <t>świętokrzyskie</t>
  </si>
  <si>
    <t>warmińsko-mazurskie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</si>
</sst>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name val="Calibri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1">
      <alignment horizontal="left" vertical="center" wrapText="1"/>
    </xf>
    <xf numFmtId="0" fontId="2" fillId="0" borderId="0"/>
  </cellStyleXfs>
  <cellXfs count="13">
    <xf numFmtId="0" fontId="0" fillId="0" borderId="0" xfId="0"/>
    <xf numFmtId="0" fontId="1" fillId="2" borderId="1" xfId="1" applyNumberFormat="1" applyFont="1" applyFill="1" applyBorder="1">
      <alignment horizontal="left" vertical="center" wrapText="1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4" fontId="0" fillId="0" borderId="0" xfId="0" applyNumberFormat="1" applyFont="1"/>
    <xf numFmtId="4" fontId="0" fillId="0" borderId="0" xfId="0" applyNumberFormat="1"/>
    <xf numFmtId="0" fontId="2" fillId="0" borderId="0" xfId="0" applyFont="1"/>
    <xf numFmtId="0" fontId="2" fillId="0" borderId="0" xfId="2"/>
    <xf numFmtId="4" fontId="2" fillId="0" borderId="0" xfId="2" applyNumberFormat="1"/>
    <xf numFmtId="0" fontId="1" fillId="2" borderId="1" xfId="1">
      <alignment horizontal="left" vertical="center" wrapText="1"/>
    </xf>
    <xf numFmtId="0" fontId="1" fillId="2" borderId="1" xfId="1" applyNumberFormat="1" applyFont="1" applyFill="1" applyBorder="1" applyAlignment="1">
      <alignment vertical="center" wrapText="1"/>
    </xf>
    <xf numFmtId="164" fontId="2" fillId="0" borderId="0" xfId="2" applyNumberFormat="1"/>
    <xf numFmtId="0" fontId="1" fillId="2" borderId="1" xfId="1">
      <alignment horizontal="left" vertical="center" wrapText="1"/>
    </xf>
  </cellXfs>
  <cellStyles count="3">
    <cellStyle name="Kolumna" xfId="1" xr:uid="{00000000-0005-0000-0000-000001000000}"/>
    <cellStyle name="Normalny" xfId="0" builtinId="0"/>
    <cellStyle name="Normalny 2" xfId="2" xr:uid="{E36D7F6D-8C73-4A3E-AE6B-0BBCF841E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49.95" customHeight="1" x14ac:dyDescent="0.3">
      <c r="B2" s="3" t="s">
        <v>2</v>
      </c>
    </row>
    <row r="3" spans="1:2" x14ac:dyDescent="0.3">
      <c r="A3" t="s">
        <v>3</v>
      </c>
      <c r="B3" t="s">
        <v>4</v>
      </c>
    </row>
    <row r="4" spans="1:2" ht="49.95" customHeight="1" x14ac:dyDescent="0.3">
      <c r="B4" s="3" t="s">
        <v>5</v>
      </c>
    </row>
    <row r="5" spans="1:2" x14ac:dyDescent="0.3">
      <c r="A5" t="s">
        <v>6</v>
      </c>
      <c r="B5" t="s">
        <v>7</v>
      </c>
    </row>
    <row r="6" spans="1:2" ht="49.95" customHeight="1" x14ac:dyDescent="0.3">
      <c r="B6" s="3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ht="49.95" customHeight="1" x14ac:dyDescent="0.3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"/>
  <sheetViews>
    <sheetView workbookViewId="0">
      <selection activeCell="I16" sqref="I16"/>
    </sheetView>
  </sheetViews>
  <sheetFormatPr defaultRowHeight="14.4" x14ac:dyDescent="0.3"/>
  <cols>
    <col min="25" max="25" width="9.109375" bestFit="1" customWidth="1"/>
  </cols>
  <sheetData>
    <row r="1" spans="1:27" ht="43.2" x14ac:dyDescent="0.3">
      <c r="A1" s="10" t="s">
        <v>86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68</v>
      </c>
      <c r="AA1" s="6" t="s">
        <v>72</v>
      </c>
    </row>
    <row r="2" spans="1:27" x14ac:dyDescent="0.3">
      <c r="A2" t="s">
        <v>87</v>
      </c>
      <c r="B2" s="4">
        <v>8986.32</v>
      </c>
      <c r="C2" s="4">
        <v>9335.2800000000007</v>
      </c>
      <c r="D2" s="4">
        <v>10235.76</v>
      </c>
      <c r="E2" s="4">
        <v>11411.52</v>
      </c>
      <c r="F2" s="4">
        <v>13422.84</v>
      </c>
      <c r="G2" s="4">
        <v>14091.119999999999</v>
      </c>
      <c r="H2" s="4">
        <v>14870.04</v>
      </c>
      <c r="I2" s="4">
        <v>15395.16</v>
      </c>
      <c r="J2" s="4">
        <v>16404</v>
      </c>
      <c r="K2" s="4">
        <v>16137.48</v>
      </c>
      <c r="L2" s="4">
        <v>16395.96</v>
      </c>
      <c r="M2" s="4">
        <v>17662.079999999998</v>
      </c>
      <c r="N2" s="4">
        <v>19032.36</v>
      </c>
      <c r="O2" s="4">
        <v>19514.16</v>
      </c>
      <c r="P2" s="4">
        <v>21066</v>
      </c>
      <c r="Q2" s="4">
        <v>23462.400000000001</v>
      </c>
      <c r="R2" s="4">
        <v>24374.880000000001</v>
      </c>
      <c r="S2" s="4">
        <v>26560.44</v>
      </c>
      <c r="T2" s="4">
        <v>27513.120000000003</v>
      </c>
      <c r="U2" s="4">
        <v>32878.800000000003</v>
      </c>
      <c r="V2" s="4">
        <v>37576.559999999998</v>
      </c>
      <c r="W2" s="5">
        <f t="shared" ref="W2:W17" si="0">AVERAGE(I2:Q2)</f>
        <v>18341.066666666666</v>
      </c>
      <c r="Y2" s="6" t="s">
        <v>69</v>
      </c>
      <c r="AA2">
        <f>(W2-$Y$3)/$Y$5</f>
        <v>0.79878651797471389</v>
      </c>
    </row>
    <row r="3" spans="1:27" x14ac:dyDescent="0.3">
      <c r="A3" t="s">
        <v>76</v>
      </c>
      <c r="B3" s="4">
        <v>7834.08</v>
      </c>
      <c r="C3" s="4">
        <v>7968.24</v>
      </c>
      <c r="D3" s="4">
        <v>9252.9600000000009</v>
      </c>
      <c r="E3" s="4">
        <v>10774.56</v>
      </c>
      <c r="F3" s="4">
        <v>11399.28</v>
      </c>
      <c r="G3" s="4">
        <v>12179.880000000001</v>
      </c>
      <c r="H3" s="4">
        <v>13901.880000000001</v>
      </c>
      <c r="I3" s="4">
        <v>13307.28</v>
      </c>
      <c r="J3" s="4">
        <v>13607.64</v>
      </c>
      <c r="K3" s="4">
        <v>14032.800000000001</v>
      </c>
      <c r="L3" s="4">
        <v>14418.48</v>
      </c>
      <c r="M3" s="4">
        <v>14948.28</v>
      </c>
      <c r="N3" s="4">
        <v>15703.560000000001</v>
      </c>
      <c r="O3" s="4">
        <v>17478.599999999999</v>
      </c>
      <c r="P3" s="4">
        <v>19335.96</v>
      </c>
      <c r="Q3" s="4">
        <v>21249.84</v>
      </c>
      <c r="R3" s="4">
        <v>22144.079999999998</v>
      </c>
      <c r="S3" s="4">
        <v>23186.639999999999</v>
      </c>
      <c r="T3" s="4">
        <v>25685.879999999997</v>
      </c>
      <c r="U3" s="4">
        <v>30409.800000000003</v>
      </c>
      <c r="V3" s="4">
        <v>36233.279999999999</v>
      </c>
      <c r="W3" s="5">
        <f t="shared" si="0"/>
        <v>16009.159999999996</v>
      </c>
      <c r="Y3" s="5">
        <f>AVERAGE(W2:W17)</f>
        <v>16936.448333333334</v>
      </c>
      <c r="AA3">
        <f t="shared" ref="AA3:AA17" si="1">(W3-$Y$3)/$Y$5</f>
        <v>-0.52733571915164135</v>
      </c>
    </row>
    <row r="4" spans="1:27" x14ac:dyDescent="0.3">
      <c r="A4" t="s">
        <v>77</v>
      </c>
      <c r="B4" s="4">
        <v>8120.4</v>
      </c>
      <c r="C4" s="4">
        <v>8068.4400000000005</v>
      </c>
      <c r="D4" s="4">
        <v>8701.2000000000007</v>
      </c>
      <c r="E4" s="4">
        <v>9499.32</v>
      </c>
      <c r="F4" s="4">
        <v>10567.44</v>
      </c>
      <c r="G4" s="4">
        <v>10907.880000000001</v>
      </c>
      <c r="H4" s="4">
        <v>11741.880000000001</v>
      </c>
      <c r="I4" s="4">
        <v>12309.599999999999</v>
      </c>
      <c r="J4" s="4">
        <v>12677.400000000001</v>
      </c>
      <c r="K4" s="4">
        <v>13266.96</v>
      </c>
      <c r="L4" s="4">
        <v>14500.199999999999</v>
      </c>
      <c r="M4" s="4">
        <v>14720.880000000001</v>
      </c>
      <c r="N4" s="4">
        <v>15589.68</v>
      </c>
      <c r="O4" s="4">
        <v>17238.96</v>
      </c>
      <c r="P4" s="4">
        <v>18332.28</v>
      </c>
      <c r="Q4" s="4">
        <v>18681.12</v>
      </c>
      <c r="R4" s="4">
        <v>20148.239999999998</v>
      </c>
      <c r="S4" s="4">
        <v>22882.079999999998</v>
      </c>
      <c r="T4" s="4">
        <v>25061.159999999996</v>
      </c>
      <c r="U4" s="4">
        <v>29537.279999999999</v>
      </c>
      <c r="V4" s="4">
        <v>34865.040000000001</v>
      </c>
      <c r="W4" s="5">
        <f t="shared" si="0"/>
        <v>15257.453333333331</v>
      </c>
      <c r="Y4" s="6" t="s">
        <v>70</v>
      </c>
      <c r="AA4">
        <f t="shared" si="1"/>
        <v>-0.95482063555601093</v>
      </c>
    </row>
    <row r="5" spans="1:27" x14ac:dyDescent="0.3">
      <c r="A5" t="s">
        <v>78</v>
      </c>
      <c r="B5" s="4">
        <v>7852.4400000000005</v>
      </c>
      <c r="C5" s="4">
        <v>8295</v>
      </c>
      <c r="D5" s="4">
        <v>10107.48</v>
      </c>
      <c r="E5" s="4">
        <v>10971.599999999999</v>
      </c>
      <c r="F5" s="4">
        <v>12706.32</v>
      </c>
      <c r="G5" s="4">
        <v>13239.84</v>
      </c>
      <c r="H5" s="4">
        <v>13836.72</v>
      </c>
      <c r="I5" s="4">
        <v>14278.68</v>
      </c>
      <c r="J5" s="4">
        <v>14773.920000000002</v>
      </c>
      <c r="K5" s="4">
        <v>14856.72</v>
      </c>
      <c r="L5" s="4">
        <v>15424.439999999999</v>
      </c>
      <c r="M5" s="4">
        <v>17034.96</v>
      </c>
      <c r="N5" s="4">
        <v>17982.239999999998</v>
      </c>
      <c r="O5" s="4">
        <v>19094.52</v>
      </c>
      <c r="P5" s="4">
        <v>19978.68</v>
      </c>
      <c r="Q5" s="4">
        <v>21529.439999999999</v>
      </c>
      <c r="R5" s="4">
        <v>23657.64</v>
      </c>
      <c r="S5" s="4">
        <v>25522.199999999997</v>
      </c>
      <c r="T5" s="4">
        <v>27024</v>
      </c>
      <c r="U5" s="4">
        <v>32947.919999999998</v>
      </c>
      <c r="V5" s="4">
        <v>39080.399999999994</v>
      </c>
      <c r="W5" s="5">
        <f t="shared" si="0"/>
        <v>17217.066666666666</v>
      </c>
      <c r="Y5">
        <f>_xlfn.STDEV.S(W2:W17)</f>
        <v>1758.4402111526324</v>
      </c>
      <c r="AA5">
        <f t="shared" si="1"/>
        <v>0.15958366486022899</v>
      </c>
    </row>
    <row r="6" spans="1:27" x14ac:dyDescent="0.3">
      <c r="A6" t="s">
        <v>88</v>
      </c>
      <c r="B6" s="4">
        <v>8766.36</v>
      </c>
      <c r="C6" s="4">
        <v>9227.64</v>
      </c>
      <c r="D6" s="4">
        <v>10042.799999999999</v>
      </c>
      <c r="E6" s="4">
        <v>10931.880000000001</v>
      </c>
      <c r="F6" s="4">
        <v>12160.32</v>
      </c>
      <c r="G6" s="4">
        <v>13381.199999999999</v>
      </c>
      <c r="H6" s="4">
        <v>14144.76</v>
      </c>
      <c r="I6" s="4">
        <v>14438.28</v>
      </c>
      <c r="J6" s="4">
        <v>15221.04</v>
      </c>
      <c r="K6" s="4">
        <v>15557.64</v>
      </c>
      <c r="L6" s="4">
        <v>15520.32</v>
      </c>
      <c r="M6" s="4">
        <v>16344.36</v>
      </c>
      <c r="N6" s="4">
        <v>17498.760000000002</v>
      </c>
      <c r="O6" s="4">
        <v>18792.239999999998</v>
      </c>
      <c r="P6" s="4">
        <v>19446</v>
      </c>
      <c r="Q6" s="4">
        <v>21715.800000000003</v>
      </c>
      <c r="R6" s="4">
        <v>22461.96</v>
      </c>
      <c r="S6" s="4">
        <v>25035.48</v>
      </c>
      <c r="T6" s="4">
        <v>27376.199999999997</v>
      </c>
      <c r="U6" s="4">
        <v>30665.52</v>
      </c>
      <c r="V6" s="4">
        <v>37967.760000000002</v>
      </c>
      <c r="W6" s="5">
        <f t="shared" si="0"/>
        <v>17170.493333333332</v>
      </c>
      <c r="AA6">
        <f t="shared" si="1"/>
        <v>0.13309807095834386</v>
      </c>
    </row>
    <row r="7" spans="1:27" x14ac:dyDescent="0.3">
      <c r="A7" t="s">
        <v>89</v>
      </c>
      <c r="B7" s="4">
        <v>8611.32</v>
      </c>
      <c r="C7" s="4">
        <v>8787.24</v>
      </c>
      <c r="D7" s="4">
        <v>9181.2000000000007</v>
      </c>
      <c r="E7" s="4">
        <v>10372.44</v>
      </c>
      <c r="F7" s="4">
        <v>12008.880000000001</v>
      </c>
      <c r="G7" s="4">
        <v>12500.76</v>
      </c>
      <c r="H7" s="4">
        <v>13290.48</v>
      </c>
      <c r="I7" s="4">
        <v>13881.48</v>
      </c>
      <c r="J7" s="4">
        <v>14278.079999999998</v>
      </c>
      <c r="K7" s="4">
        <v>14733.599999999999</v>
      </c>
      <c r="L7" s="4">
        <v>15126.96</v>
      </c>
      <c r="M7" s="4">
        <v>15665.400000000001</v>
      </c>
      <c r="N7" s="4">
        <v>17081.52</v>
      </c>
      <c r="O7" s="4">
        <v>17902.920000000002</v>
      </c>
      <c r="P7" s="4">
        <v>19534.199999999997</v>
      </c>
      <c r="Q7" s="4">
        <v>21276.959999999999</v>
      </c>
      <c r="R7" s="4">
        <v>22976.880000000001</v>
      </c>
      <c r="S7" s="4">
        <v>24466.560000000001</v>
      </c>
      <c r="T7" s="4">
        <v>26840.04</v>
      </c>
      <c r="U7" s="4">
        <v>33479.279999999999</v>
      </c>
      <c r="V7" s="4">
        <v>39051.24</v>
      </c>
      <c r="W7" s="5">
        <f t="shared" si="0"/>
        <v>16609.013333333332</v>
      </c>
      <c r="AA7">
        <f t="shared" si="1"/>
        <v>-0.18620763897646106</v>
      </c>
    </row>
    <row r="8" spans="1:27" x14ac:dyDescent="0.3">
      <c r="A8" t="s">
        <v>79</v>
      </c>
      <c r="B8" s="4">
        <v>11282.16</v>
      </c>
      <c r="C8" s="4">
        <v>11255.64</v>
      </c>
      <c r="D8" s="4">
        <v>12585.599999999999</v>
      </c>
      <c r="E8" s="4">
        <v>14485.800000000001</v>
      </c>
      <c r="F8" s="4">
        <v>16037.52</v>
      </c>
      <c r="G8" s="4">
        <v>17264.760000000002</v>
      </c>
      <c r="H8" s="4">
        <v>19223.64</v>
      </c>
      <c r="I8" s="4">
        <v>19475.52</v>
      </c>
      <c r="J8" s="4">
        <v>20520.12</v>
      </c>
      <c r="K8" s="4">
        <v>20285.04</v>
      </c>
      <c r="L8" s="4">
        <v>20443.439999999999</v>
      </c>
      <c r="M8" s="4">
        <v>21073.800000000003</v>
      </c>
      <c r="N8" s="4">
        <v>21370.560000000001</v>
      </c>
      <c r="O8" s="4">
        <v>22945.079999999998</v>
      </c>
      <c r="P8" s="4">
        <v>24379.079999999998</v>
      </c>
      <c r="Q8" s="4">
        <v>25296.120000000003</v>
      </c>
      <c r="R8" s="4">
        <v>26886.239999999998</v>
      </c>
      <c r="S8" s="4">
        <v>29404.44</v>
      </c>
      <c r="T8" s="4">
        <v>32231.159999999996</v>
      </c>
      <c r="U8" s="4">
        <v>38507.879999999997</v>
      </c>
      <c r="V8" s="4">
        <v>43587.12</v>
      </c>
      <c r="W8" s="5">
        <f t="shared" si="0"/>
        <v>21754.306666666664</v>
      </c>
      <c r="AA8">
        <f t="shared" si="1"/>
        <v>2.7398476802206955</v>
      </c>
    </row>
    <row r="9" spans="1:27" x14ac:dyDescent="0.3">
      <c r="A9" t="s">
        <v>80</v>
      </c>
      <c r="B9" s="4">
        <v>8935.68</v>
      </c>
      <c r="C9" s="4">
        <v>9555.5999999999985</v>
      </c>
      <c r="D9" s="4">
        <v>9538.7999999999993</v>
      </c>
      <c r="E9" s="4">
        <v>10988.400000000001</v>
      </c>
      <c r="F9" s="4">
        <v>12960.96</v>
      </c>
      <c r="G9" s="4">
        <v>12987.24</v>
      </c>
      <c r="H9" s="4">
        <v>13388.76</v>
      </c>
      <c r="I9" s="4">
        <v>14182.800000000001</v>
      </c>
      <c r="J9" s="4">
        <v>15531.119999999999</v>
      </c>
      <c r="K9" s="4">
        <v>14385.48</v>
      </c>
      <c r="L9" s="4">
        <v>14936.28</v>
      </c>
      <c r="M9" s="4">
        <v>15464.880000000001</v>
      </c>
      <c r="N9" s="4">
        <v>16679.04</v>
      </c>
      <c r="O9" s="4">
        <v>18128.760000000002</v>
      </c>
      <c r="P9" s="4">
        <v>19071.599999999999</v>
      </c>
      <c r="Q9" s="4">
        <v>20247.48</v>
      </c>
      <c r="R9" s="4">
        <v>20536.079999999998</v>
      </c>
      <c r="S9" s="4">
        <v>20290.32</v>
      </c>
      <c r="T9" s="4">
        <v>22917.72</v>
      </c>
      <c r="U9" s="4">
        <v>0</v>
      </c>
      <c r="V9" s="4">
        <v>30453.840000000004</v>
      </c>
      <c r="W9" s="5">
        <f t="shared" si="0"/>
        <v>16514.160000000003</v>
      </c>
      <c r="AA9">
        <f t="shared" si="1"/>
        <v>-0.24014938390002255</v>
      </c>
    </row>
    <row r="10" spans="1:27" x14ac:dyDescent="0.3">
      <c r="A10" t="s">
        <v>81</v>
      </c>
      <c r="B10" s="4">
        <v>7025.16</v>
      </c>
      <c r="C10" s="4">
        <v>7428.24</v>
      </c>
      <c r="D10" s="4">
        <v>7761.12</v>
      </c>
      <c r="E10" s="4">
        <v>8408.0399999999991</v>
      </c>
      <c r="F10" s="4">
        <v>9495.24</v>
      </c>
      <c r="G10" s="4">
        <v>10015.08</v>
      </c>
      <c r="H10" s="4">
        <v>10887.36</v>
      </c>
      <c r="I10" s="4">
        <v>11254.2</v>
      </c>
      <c r="J10" s="4">
        <v>11509.44</v>
      </c>
      <c r="K10" s="4">
        <v>11972.28</v>
      </c>
      <c r="L10" s="4">
        <v>12636.24</v>
      </c>
      <c r="M10" s="4">
        <v>12979.68</v>
      </c>
      <c r="N10" s="4">
        <v>13609.199999999999</v>
      </c>
      <c r="O10" s="4">
        <v>15051.599999999999</v>
      </c>
      <c r="P10" s="4">
        <v>16167.119999999999</v>
      </c>
      <c r="Q10" s="4">
        <v>17657.88</v>
      </c>
      <c r="R10" s="4">
        <v>19062.84</v>
      </c>
      <c r="S10" s="4">
        <v>20448.96</v>
      </c>
      <c r="T10" s="4">
        <v>21948.6</v>
      </c>
      <c r="U10" s="4">
        <v>27371.64</v>
      </c>
      <c r="V10" s="4">
        <v>33928.68</v>
      </c>
      <c r="W10" s="5">
        <f t="shared" si="0"/>
        <v>13648.626666666665</v>
      </c>
      <c r="AA10">
        <f t="shared" si="1"/>
        <v>-1.8697375354670425</v>
      </c>
    </row>
    <row r="11" spans="1:27" x14ac:dyDescent="0.3">
      <c r="A11" t="s">
        <v>82</v>
      </c>
      <c r="B11" s="4">
        <v>7738.5599999999995</v>
      </c>
      <c r="C11" s="4">
        <v>8696.16</v>
      </c>
      <c r="D11" s="4">
        <v>9793.2000000000007</v>
      </c>
      <c r="E11" s="4">
        <v>10607.880000000001</v>
      </c>
      <c r="F11" s="4">
        <v>11225.76</v>
      </c>
      <c r="G11" s="4">
        <v>12225.24</v>
      </c>
      <c r="H11" s="4">
        <v>13238.400000000001</v>
      </c>
      <c r="I11" s="4">
        <v>14699.04</v>
      </c>
      <c r="J11" s="4">
        <v>14908.68</v>
      </c>
      <c r="K11" s="4">
        <v>15098.16</v>
      </c>
      <c r="L11" s="4">
        <v>15103.439999999999</v>
      </c>
      <c r="M11" s="4">
        <v>15095.16</v>
      </c>
      <c r="N11" s="4">
        <v>17037.96</v>
      </c>
      <c r="O11" s="4">
        <v>19026.84</v>
      </c>
      <c r="P11" s="4">
        <v>19161.12</v>
      </c>
      <c r="Q11" s="4">
        <v>20900.400000000001</v>
      </c>
      <c r="R11" s="4">
        <v>23379.72</v>
      </c>
      <c r="S11" s="4">
        <v>24057.239999999998</v>
      </c>
      <c r="T11" s="4">
        <v>28255.32</v>
      </c>
      <c r="U11" s="4">
        <v>32174.399999999998</v>
      </c>
      <c r="V11" s="4">
        <v>39117.72</v>
      </c>
      <c r="W11" s="5">
        <f t="shared" si="0"/>
        <v>16781.199999999997</v>
      </c>
      <c r="AA11">
        <f t="shared" si="1"/>
        <v>-8.8287524562221859E-2</v>
      </c>
    </row>
    <row r="12" spans="1:27" x14ac:dyDescent="0.3">
      <c r="A12" t="s">
        <v>83</v>
      </c>
      <c r="B12" s="4">
        <v>9039.84</v>
      </c>
      <c r="C12" s="4">
        <v>9612.9600000000009</v>
      </c>
      <c r="D12" s="4">
        <v>10926.119999999999</v>
      </c>
      <c r="E12" s="4">
        <v>12361.920000000002</v>
      </c>
      <c r="F12" s="4">
        <v>13226.28</v>
      </c>
      <c r="G12" s="4">
        <v>13974</v>
      </c>
      <c r="H12" s="4">
        <v>14917.439999999999</v>
      </c>
      <c r="I12" s="4">
        <v>15443.28</v>
      </c>
      <c r="J12" s="4">
        <v>16206.72</v>
      </c>
      <c r="K12" s="4">
        <v>17203.68</v>
      </c>
      <c r="L12" s="4">
        <v>16516.079999999998</v>
      </c>
      <c r="M12" s="4">
        <v>16571.04</v>
      </c>
      <c r="N12" s="4">
        <v>18724.199999999997</v>
      </c>
      <c r="O12" s="4">
        <v>19788.48</v>
      </c>
      <c r="P12" s="4">
        <v>20850.48</v>
      </c>
      <c r="Q12" s="4">
        <v>22319.760000000002</v>
      </c>
      <c r="R12" s="4">
        <v>21589.439999999999</v>
      </c>
      <c r="S12" s="4">
        <v>22029.599999999999</v>
      </c>
      <c r="T12" s="4">
        <v>24244.199999999997</v>
      </c>
      <c r="U12" s="4">
        <v>27501.840000000004</v>
      </c>
      <c r="V12" s="4">
        <v>38323.32</v>
      </c>
      <c r="W12" s="5">
        <f t="shared" si="0"/>
        <v>18180.413333333334</v>
      </c>
      <c r="AA12">
        <f t="shared" si="1"/>
        <v>0.70742524659658401</v>
      </c>
    </row>
    <row r="13" spans="1:27" x14ac:dyDescent="0.3">
      <c r="A13" t="s">
        <v>90</v>
      </c>
      <c r="B13" s="4">
        <v>8979.48</v>
      </c>
      <c r="C13" s="4">
        <v>9513.84</v>
      </c>
      <c r="D13" s="4">
        <v>10175.039999999999</v>
      </c>
      <c r="E13" s="4">
        <v>11031.24</v>
      </c>
      <c r="F13" s="4">
        <v>12492.96</v>
      </c>
      <c r="G13" s="4">
        <v>13368.599999999999</v>
      </c>
      <c r="H13" s="4">
        <v>14021.04</v>
      </c>
      <c r="I13" s="4">
        <v>14585.28</v>
      </c>
      <c r="J13" s="4">
        <v>15346.439999999999</v>
      </c>
      <c r="K13" s="4">
        <v>15827.04</v>
      </c>
      <c r="L13" s="4">
        <v>16580.16</v>
      </c>
      <c r="M13" s="4">
        <v>17046.48</v>
      </c>
      <c r="N13" s="4">
        <v>18158.760000000002</v>
      </c>
      <c r="O13" s="4">
        <v>19749</v>
      </c>
      <c r="P13" s="4">
        <v>21084.36</v>
      </c>
      <c r="Q13" s="4">
        <v>22768.68</v>
      </c>
      <c r="R13" s="4">
        <v>24604.32</v>
      </c>
      <c r="S13" s="4">
        <v>26158.68</v>
      </c>
      <c r="T13" s="4">
        <v>28533.120000000003</v>
      </c>
      <c r="U13" s="4">
        <v>34704.479999999996</v>
      </c>
      <c r="V13" s="4">
        <v>38913</v>
      </c>
      <c r="W13" s="5">
        <f t="shared" si="0"/>
        <v>17905.133333333335</v>
      </c>
      <c r="AA13">
        <f t="shared" si="1"/>
        <v>0.5508774161647737</v>
      </c>
    </row>
    <row r="14" spans="1:27" x14ac:dyDescent="0.3">
      <c r="A14" t="s">
        <v>91</v>
      </c>
      <c r="B14" s="4">
        <v>7385.52</v>
      </c>
      <c r="C14" s="4">
        <v>7452.12</v>
      </c>
      <c r="D14" s="4">
        <v>8381.2800000000007</v>
      </c>
      <c r="E14" s="4">
        <v>9306.84</v>
      </c>
      <c r="F14" s="4">
        <v>10538.16</v>
      </c>
      <c r="G14" s="4">
        <v>11254.68</v>
      </c>
      <c r="H14" s="4">
        <v>12316.32</v>
      </c>
      <c r="I14" s="4">
        <v>12753.36</v>
      </c>
      <c r="J14" s="4">
        <v>13437.119999999999</v>
      </c>
      <c r="K14" s="4">
        <v>13840.32</v>
      </c>
      <c r="L14" s="4">
        <v>14396.880000000001</v>
      </c>
      <c r="M14" s="4">
        <v>14433.599999999999</v>
      </c>
      <c r="N14" s="4">
        <v>15671.52</v>
      </c>
      <c r="O14" s="4">
        <v>17192.16</v>
      </c>
      <c r="P14" s="4">
        <v>18597.84</v>
      </c>
      <c r="Q14" s="4">
        <v>19517.52</v>
      </c>
      <c r="R14" s="4">
        <v>20723.04</v>
      </c>
      <c r="S14" s="4">
        <v>22375.56</v>
      </c>
      <c r="T14" s="4">
        <v>23801.040000000001</v>
      </c>
      <c r="U14" s="4">
        <v>29025.120000000003</v>
      </c>
      <c r="V14" s="4">
        <v>34274.04</v>
      </c>
      <c r="W14" s="5">
        <f t="shared" si="0"/>
        <v>15537.813333333334</v>
      </c>
      <c r="AA14">
        <f t="shared" si="1"/>
        <v>-0.79538388119731118</v>
      </c>
    </row>
    <row r="15" spans="1:27" x14ac:dyDescent="0.3">
      <c r="A15" t="s">
        <v>92</v>
      </c>
      <c r="B15" s="4">
        <v>7892.16</v>
      </c>
      <c r="C15" s="4">
        <v>8415.119999999999</v>
      </c>
      <c r="D15" s="4">
        <v>8957.880000000001</v>
      </c>
      <c r="E15" s="4">
        <v>10024.200000000001</v>
      </c>
      <c r="F15" s="4">
        <v>11748.72</v>
      </c>
      <c r="G15" s="4">
        <v>13011.36</v>
      </c>
      <c r="H15" s="4">
        <v>13240.68</v>
      </c>
      <c r="I15" s="4">
        <v>13162.439999999999</v>
      </c>
      <c r="J15" s="4">
        <v>13319.400000000001</v>
      </c>
      <c r="K15" s="4">
        <v>13307.64</v>
      </c>
      <c r="L15" s="4">
        <v>14756.880000000001</v>
      </c>
      <c r="M15" s="4">
        <v>15366.119999999999</v>
      </c>
      <c r="N15" s="4">
        <v>16461.48</v>
      </c>
      <c r="O15" s="4">
        <v>17953.800000000003</v>
      </c>
      <c r="P15" s="4">
        <v>18657.72</v>
      </c>
      <c r="Q15" s="4">
        <v>19166.16</v>
      </c>
      <c r="R15" s="4">
        <v>22608.6</v>
      </c>
      <c r="S15" s="4">
        <v>24833.64</v>
      </c>
      <c r="T15" s="4">
        <v>25227</v>
      </c>
      <c r="U15" s="4">
        <v>29136.720000000001</v>
      </c>
      <c r="V15" s="4">
        <v>34678.32</v>
      </c>
      <c r="W15" s="5">
        <f t="shared" si="0"/>
        <v>15794.626666666665</v>
      </c>
      <c r="AA15">
        <f t="shared" si="1"/>
        <v>-0.64933778210077486</v>
      </c>
    </row>
    <row r="16" spans="1:27" x14ac:dyDescent="0.3">
      <c r="A16" t="s">
        <v>84</v>
      </c>
      <c r="B16" s="4">
        <v>8410.2000000000007</v>
      </c>
      <c r="C16" s="4">
        <v>8863.32</v>
      </c>
      <c r="D16" s="4">
        <v>9769.92</v>
      </c>
      <c r="E16" s="4">
        <v>10674.24</v>
      </c>
      <c r="F16" s="4">
        <v>12222.119999999999</v>
      </c>
      <c r="G16" s="4">
        <v>13167.96</v>
      </c>
      <c r="H16" s="4">
        <v>13508.880000000001</v>
      </c>
      <c r="I16" s="4">
        <v>13620.24</v>
      </c>
      <c r="J16" s="4">
        <v>13841.16</v>
      </c>
      <c r="K16" s="4">
        <v>14480.64</v>
      </c>
      <c r="L16" s="4">
        <v>15225.36</v>
      </c>
      <c r="M16" s="4">
        <v>15453.48</v>
      </c>
      <c r="N16" s="4">
        <v>16799.88</v>
      </c>
      <c r="O16" s="4">
        <v>19279.68</v>
      </c>
      <c r="P16" s="4">
        <v>19559.760000000002</v>
      </c>
      <c r="Q16" s="4">
        <v>21683.760000000002</v>
      </c>
      <c r="R16" s="4">
        <v>21469.56</v>
      </c>
      <c r="S16" s="4">
        <v>22570.920000000002</v>
      </c>
      <c r="T16" s="4">
        <v>24889.32</v>
      </c>
      <c r="U16" s="4">
        <v>29940.239999999998</v>
      </c>
      <c r="V16" s="4">
        <v>36802.44</v>
      </c>
      <c r="W16" s="5">
        <f t="shared" si="0"/>
        <v>16660.440000000002</v>
      </c>
      <c r="AA16">
        <f t="shared" si="1"/>
        <v>-0.15696202326515946</v>
      </c>
    </row>
    <row r="17" spans="1:27" x14ac:dyDescent="0.3">
      <c r="A17" t="s">
        <v>85</v>
      </c>
      <c r="B17" s="4">
        <v>9144.48</v>
      </c>
      <c r="C17" s="4">
        <v>9150.48</v>
      </c>
      <c r="D17" s="4">
        <v>10017</v>
      </c>
      <c r="E17" s="4">
        <v>10842.84</v>
      </c>
      <c r="F17" s="4">
        <v>12586.920000000002</v>
      </c>
      <c r="G17" s="4">
        <v>13676.04</v>
      </c>
      <c r="H17" s="4">
        <v>14242.920000000002</v>
      </c>
      <c r="I17" s="4">
        <v>14773.199999999999</v>
      </c>
      <c r="J17" s="4">
        <v>15162.72</v>
      </c>
      <c r="K17" s="4">
        <v>15070.800000000001</v>
      </c>
      <c r="L17" s="4">
        <v>16384.800000000003</v>
      </c>
      <c r="M17" s="4">
        <v>17122.199999999997</v>
      </c>
      <c r="N17" s="4">
        <v>17794.800000000003</v>
      </c>
      <c r="O17" s="4">
        <v>19831.199999999997</v>
      </c>
      <c r="P17" s="4">
        <v>20666.760000000002</v>
      </c>
      <c r="Q17" s="4">
        <v>21613.32</v>
      </c>
      <c r="R17" s="4">
        <v>22345.079999999998</v>
      </c>
      <c r="S17" s="4">
        <v>24344.28</v>
      </c>
      <c r="T17" s="4">
        <v>28108.68</v>
      </c>
      <c r="U17" s="4">
        <v>33609.72</v>
      </c>
      <c r="V17" s="4">
        <v>37325.64</v>
      </c>
      <c r="W17" s="5">
        <f t="shared" si="0"/>
        <v>17602.2</v>
      </c>
      <c r="AA17">
        <f t="shared" si="1"/>
        <v>0.37860352740129638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09A9-A71B-452C-9AED-3F57B4407D31}">
  <dimension ref="A1:AA17"/>
  <sheetViews>
    <sheetView workbookViewId="0">
      <selection sqref="A1:V1"/>
    </sheetView>
  </sheetViews>
  <sheetFormatPr defaultRowHeight="14.4" x14ac:dyDescent="0.3"/>
  <cols>
    <col min="1" max="16384" width="8.88671875" style="7"/>
  </cols>
  <sheetData>
    <row r="1" spans="1:27" ht="43.2" x14ac:dyDescent="0.3">
      <c r="A1" s="8" t="s">
        <v>86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  <c r="V1" s="9" t="s">
        <v>35</v>
      </c>
      <c r="W1" s="1" t="s">
        <v>68</v>
      </c>
      <c r="X1"/>
      <c r="Y1"/>
      <c r="Z1"/>
      <c r="AA1"/>
    </row>
    <row r="2" spans="1:27" x14ac:dyDescent="0.3">
      <c r="A2" s="7" t="s">
        <v>37</v>
      </c>
      <c r="B2" s="8">
        <v>2.84</v>
      </c>
      <c r="C2" s="8">
        <v>2.91</v>
      </c>
      <c r="D2" s="8">
        <v>2.88</v>
      </c>
      <c r="E2" s="8">
        <v>2.77</v>
      </c>
      <c r="F2" s="8">
        <v>2.73</v>
      </c>
      <c r="G2" s="8">
        <v>2.75</v>
      </c>
      <c r="H2" s="8">
        <v>2.72</v>
      </c>
      <c r="I2" s="8">
        <v>2.75</v>
      </c>
      <c r="J2" s="8">
        <v>2.62</v>
      </c>
      <c r="K2" s="8">
        <v>2.5</v>
      </c>
      <c r="L2" s="8">
        <v>2.56</v>
      </c>
      <c r="M2" s="8">
        <v>2.57</v>
      </c>
      <c r="N2" s="8">
        <v>2.5</v>
      </c>
      <c r="O2" s="8">
        <v>2.52</v>
      </c>
      <c r="P2" s="8">
        <v>2.4900000000000002</v>
      </c>
      <c r="Q2" s="8">
        <v>2.46</v>
      </c>
      <c r="R2" s="8">
        <v>2.5</v>
      </c>
      <c r="S2" s="8">
        <v>2.4300000000000002</v>
      </c>
      <c r="T2" s="8">
        <v>2.41</v>
      </c>
      <c r="U2" s="8">
        <v>2.36</v>
      </c>
      <c r="V2" s="8">
        <v>2.31</v>
      </c>
      <c r="W2" s="5">
        <f t="shared" ref="W2:W17" si="0">AVERAGE(I2:Q2)</f>
        <v>2.5522222222222219</v>
      </c>
      <c r="X2"/>
      <c r="Y2" s="6" t="s">
        <v>69</v>
      </c>
      <c r="Z2"/>
      <c r="AA2">
        <f>(W2-$Y$3)/$Y$5</f>
        <v>-1.2885400749234395</v>
      </c>
    </row>
    <row r="3" spans="1:27" x14ac:dyDescent="0.3">
      <c r="A3" s="7" t="s">
        <v>39</v>
      </c>
      <c r="B3" s="8">
        <v>3.1</v>
      </c>
      <c r="C3" s="8">
        <v>3.17</v>
      </c>
      <c r="D3" s="8">
        <v>3.12</v>
      </c>
      <c r="E3" s="8">
        <v>3.09</v>
      </c>
      <c r="F3" s="8">
        <v>3.06</v>
      </c>
      <c r="G3" s="8">
        <v>2.98</v>
      </c>
      <c r="H3" s="8">
        <v>2.92</v>
      </c>
      <c r="I3" s="8">
        <v>2.91</v>
      </c>
      <c r="J3" s="8">
        <v>2.84</v>
      </c>
      <c r="K3" s="8">
        <v>2.81</v>
      </c>
      <c r="L3" s="8">
        <v>2.82</v>
      </c>
      <c r="M3" s="8">
        <v>2.73</v>
      </c>
      <c r="N3" s="8">
        <v>2.79</v>
      </c>
      <c r="O3" s="8">
        <v>2.77</v>
      </c>
      <c r="P3" s="8">
        <v>2.68</v>
      </c>
      <c r="Q3" s="8">
        <v>2.66</v>
      </c>
      <c r="R3" s="8">
        <v>2.61</v>
      </c>
      <c r="S3" s="8">
        <v>2.54</v>
      </c>
      <c r="T3" s="8">
        <v>2.52</v>
      </c>
      <c r="U3" s="8">
        <v>2.4700000000000002</v>
      </c>
      <c r="V3" s="8">
        <v>2.4300000000000002</v>
      </c>
      <c r="W3" s="5">
        <f t="shared" si="0"/>
        <v>2.778888888888889</v>
      </c>
      <c r="X3"/>
      <c r="Y3" s="5">
        <f>AVERAGE(W2:W17)</f>
        <v>2.7324999999999999</v>
      </c>
      <c r="Z3"/>
      <c r="AA3">
        <f t="shared" ref="AA3:AA17" si="1">(W3-$Y$3)/$Y$5</f>
        <v>0.33156578199108605</v>
      </c>
    </row>
    <row r="4" spans="1:27" x14ac:dyDescent="0.3">
      <c r="A4" s="7" t="s">
        <v>41</v>
      </c>
      <c r="B4" s="8">
        <v>3.23</v>
      </c>
      <c r="C4" s="8">
        <v>3.23</v>
      </c>
      <c r="D4" s="8">
        <v>3.16</v>
      </c>
      <c r="E4" s="8">
        <v>3.14</v>
      </c>
      <c r="F4" s="8">
        <v>3.08</v>
      </c>
      <c r="G4" s="8">
        <v>3.03</v>
      </c>
      <c r="H4" s="8">
        <v>2.97</v>
      </c>
      <c r="I4" s="8">
        <v>2.94</v>
      </c>
      <c r="J4" s="8">
        <v>2.97</v>
      </c>
      <c r="K4" s="8">
        <v>2.99</v>
      </c>
      <c r="L4" s="8">
        <v>2.84</v>
      </c>
      <c r="M4" s="8">
        <v>2.84</v>
      </c>
      <c r="N4" s="8">
        <v>2.76</v>
      </c>
      <c r="O4" s="8">
        <v>2.69</v>
      </c>
      <c r="P4" s="8">
        <v>2.69</v>
      </c>
      <c r="Q4" s="8">
        <v>2.7</v>
      </c>
      <c r="R4" s="8">
        <v>2.71</v>
      </c>
      <c r="S4" s="8">
        <v>2.74</v>
      </c>
      <c r="T4" s="8">
        <v>2.6</v>
      </c>
      <c r="U4" s="8">
        <v>2.5299999999999998</v>
      </c>
      <c r="V4" s="8">
        <v>2.56</v>
      </c>
      <c r="W4" s="5">
        <f t="shared" si="0"/>
        <v>2.8244444444444445</v>
      </c>
      <c r="X4"/>
      <c r="Y4" s="6" t="s">
        <v>70</v>
      </c>
      <c r="Z4"/>
      <c r="AA4">
        <f t="shared" si="1"/>
        <v>0.65717529244939721</v>
      </c>
    </row>
    <row r="5" spans="1:27" x14ac:dyDescent="0.3">
      <c r="A5" s="7" t="s">
        <v>43</v>
      </c>
      <c r="B5" s="8">
        <v>2.99</v>
      </c>
      <c r="C5" s="8">
        <v>3</v>
      </c>
      <c r="D5" s="8">
        <v>3.01</v>
      </c>
      <c r="E5" s="8">
        <v>2.9</v>
      </c>
      <c r="F5" s="8">
        <v>2.83</v>
      </c>
      <c r="G5" s="8">
        <v>2.91</v>
      </c>
      <c r="H5" s="8">
        <v>2.86</v>
      </c>
      <c r="I5" s="8">
        <v>2.82</v>
      </c>
      <c r="J5" s="8">
        <v>2.71</v>
      </c>
      <c r="K5" s="8">
        <v>2.76</v>
      </c>
      <c r="L5" s="8">
        <v>2.8</v>
      </c>
      <c r="M5" s="8">
        <v>2.73</v>
      </c>
      <c r="N5" s="8">
        <v>2.6</v>
      </c>
      <c r="O5" s="8">
        <v>2.57</v>
      </c>
      <c r="P5" s="8">
        <v>2.63</v>
      </c>
      <c r="Q5" s="8">
        <v>2.5499999999999998</v>
      </c>
      <c r="R5" s="8">
        <v>2.57</v>
      </c>
      <c r="S5" s="8">
        <v>2.41</v>
      </c>
      <c r="T5" s="8">
        <v>2.38</v>
      </c>
      <c r="U5" s="8">
        <v>2.29</v>
      </c>
      <c r="V5" s="8">
        <v>2.1800000000000002</v>
      </c>
      <c r="W5" s="5">
        <f t="shared" si="0"/>
        <v>2.6855555555555557</v>
      </c>
      <c r="X5"/>
      <c r="Y5">
        <f>_xlfn.STDEV.S(W2:W17)</f>
        <v>0.13990855332030666</v>
      </c>
      <c r="Z5"/>
      <c r="AA5">
        <f t="shared" si="1"/>
        <v>-0.33553662967959946</v>
      </c>
    </row>
    <row r="6" spans="1:27" x14ac:dyDescent="0.3">
      <c r="A6" s="7" t="s">
        <v>45</v>
      </c>
      <c r="B6" s="8">
        <v>2.87</v>
      </c>
      <c r="C6" s="8">
        <v>2.87</v>
      </c>
      <c r="D6" s="8">
        <v>2.88</v>
      </c>
      <c r="E6" s="8">
        <v>2.84</v>
      </c>
      <c r="F6" s="8">
        <v>2.77</v>
      </c>
      <c r="G6" s="8">
        <v>2.69</v>
      </c>
      <c r="H6" s="8">
        <v>2.7</v>
      </c>
      <c r="I6" s="8">
        <v>2.65</v>
      </c>
      <c r="J6" s="8">
        <v>2.65</v>
      </c>
      <c r="K6" s="8">
        <v>2.56</v>
      </c>
      <c r="L6" s="8">
        <v>2.61</v>
      </c>
      <c r="M6" s="8">
        <v>2.66</v>
      </c>
      <c r="N6" s="8">
        <v>2.64</v>
      </c>
      <c r="O6" s="8">
        <v>2.48</v>
      </c>
      <c r="P6" s="8">
        <v>2.48</v>
      </c>
      <c r="Q6" s="8">
        <v>2.54</v>
      </c>
      <c r="R6" s="8">
        <v>2.59</v>
      </c>
      <c r="S6" s="8">
        <v>2.52</v>
      </c>
      <c r="T6" s="8">
        <v>2.41</v>
      </c>
      <c r="U6" s="8">
        <v>2.42</v>
      </c>
      <c r="V6" s="8">
        <v>2.3199999999999998</v>
      </c>
      <c r="W6" s="5">
        <f t="shared" si="0"/>
        <v>2.5855555555555556</v>
      </c>
      <c r="X6"/>
      <c r="Y6"/>
      <c r="Z6"/>
      <c r="AA6">
        <f t="shared" si="1"/>
        <v>-1.050289213612478</v>
      </c>
    </row>
    <row r="7" spans="1:27" x14ac:dyDescent="0.3">
      <c r="A7" s="7" t="s">
        <v>47</v>
      </c>
      <c r="B7" s="8">
        <v>3.24</v>
      </c>
      <c r="C7" s="8">
        <v>3.23</v>
      </c>
      <c r="D7" s="8">
        <v>3.26</v>
      </c>
      <c r="E7" s="8">
        <v>3.22</v>
      </c>
      <c r="F7" s="8">
        <v>3.11</v>
      </c>
      <c r="G7" s="8">
        <v>3.09</v>
      </c>
      <c r="H7" s="8">
        <v>3.06</v>
      </c>
      <c r="I7" s="8">
        <v>2.95</v>
      </c>
      <c r="J7" s="8">
        <v>2.92</v>
      </c>
      <c r="K7" s="8">
        <v>2.91</v>
      </c>
      <c r="L7" s="8">
        <v>2.86</v>
      </c>
      <c r="M7" s="8">
        <v>2.81</v>
      </c>
      <c r="N7" s="8">
        <v>2.8</v>
      </c>
      <c r="O7" s="8">
        <v>2.87</v>
      </c>
      <c r="P7" s="8">
        <v>2.85</v>
      </c>
      <c r="Q7" s="8">
        <v>2.76</v>
      </c>
      <c r="R7" s="8">
        <v>2.83</v>
      </c>
      <c r="S7" s="8">
        <v>2.78</v>
      </c>
      <c r="T7" s="8">
        <v>2.62</v>
      </c>
      <c r="U7" s="8">
        <v>2.6</v>
      </c>
      <c r="V7" s="8">
        <v>2.6</v>
      </c>
      <c r="W7" s="5">
        <f t="shared" si="0"/>
        <v>2.8588888888888895</v>
      </c>
      <c r="X7"/>
      <c r="Y7"/>
      <c r="Z7"/>
      <c r="AA7">
        <f t="shared" si="1"/>
        <v>0.90336784913739199</v>
      </c>
    </row>
    <row r="8" spans="1:27" x14ac:dyDescent="0.3">
      <c r="A8" s="7" t="s">
        <v>49</v>
      </c>
      <c r="B8" s="8">
        <v>2.94</v>
      </c>
      <c r="C8" s="8">
        <v>2.99</v>
      </c>
      <c r="D8" s="8">
        <v>2.94</v>
      </c>
      <c r="E8" s="8">
        <v>2.83</v>
      </c>
      <c r="F8" s="8">
        <v>2.78</v>
      </c>
      <c r="G8" s="8">
        <v>2.74</v>
      </c>
      <c r="H8" s="8">
        <v>2.74</v>
      </c>
      <c r="I8" s="8">
        <v>2.75</v>
      </c>
      <c r="J8" s="8">
        <v>2.71</v>
      </c>
      <c r="K8" s="8">
        <v>2.68</v>
      </c>
      <c r="L8" s="8">
        <v>2.66</v>
      </c>
      <c r="M8" s="8">
        <v>2.65</v>
      </c>
      <c r="N8" s="8">
        <v>2.61</v>
      </c>
      <c r="O8" s="8">
        <v>2.6</v>
      </c>
      <c r="P8" s="8">
        <v>2.59</v>
      </c>
      <c r="Q8" s="8">
        <v>2.5099999999999998</v>
      </c>
      <c r="R8" s="8">
        <v>2.4900000000000002</v>
      </c>
      <c r="S8" s="8">
        <v>2.4500000000000002</v>
      </c>
      <c r="T8" s="8">
        <v>2.4</v>
      </c>
      <c r="U8" s="8">
        <v>2.4</v>
      </c>
      <c r="V8" s="8">
        <v>2.38</v>
      </c>
      <c r="W8" s="5">
        <f t="shared" si="0"/>
        <v>2.6400000000000006</v>
      </c>
      <c r="X8"/>
      <c r="Y8"/>
      <c r="Z8"/>
      <c r="AA8">
        <f t="shared" si="1"/>
        <v>-0.6611461401379074</v>
      </c>
    </row>
    <row r="9" spans="1:27" x14ac:dyDescent="0.3">
      <c r="A9" s="7" t="s">
        <v>51</v>
      </c>
      <c r="B9" s="8">
        <v>3.02</v>
      </c>
      <c r="C9" s="8">
        <v>2.97</v>
      </c>
      <c r="D9" s="8">
        <v>3.06</v>
      </c>
      <c r="E9" s="8">
        <v>2.97</v>
      </c>
      <c r="F9" s="8">
        <v>2.84</v>
      </c>
      <c r="G9" s="8">
        <v>2.84</v>
      </c>
      <c r="H9" s="8">
        <v>2.9</v>
      </c>
      <c r="I9" s="8">
        <v>2.94</v>
      </c>
      <c r="J9" s="8">
        <v>2.89</v>
      </c>
      <c r="K9" s="8">
        <v>2.75</v>
      </c>
      <c r="L9" s="8">
        <v>2.75</v>
      </c>
      <c r="M9" s="8">
        <v>2.7</v>
      </c>
      <c r="N9" s="8">
        <v>2.65</v>
      </c>
      <c r="O9" s="8">
        <v>2.67</v>
      </c>
      <c r="P9" s="8">
        <v>2.77</v>
      </c>
      <c r="Q9" s="8">
        <v>2.62</v>
      </c>
      <c r="R9" s="8">
        <v>2.65</v>
      </c>
      <c r="S9" s="8">
        <v>2.63</v>
      </c>
      <c r="T9" s="8">
        <v>2.4500000000000002</v>
      </c>
      <c r="U9" s="8">
        <v>2.39</v>
      </c>
      <c r="V9" s="8">
        <v>2.44</v>
      </c>
      <c r="W9" s="5">
        <f t="shared" si="0"/>
        <v>2.7488888888888892</v>
      </c>
      <c r="X9"/>
      <c r="Y9"/>
      <c r="Z9"/>
      <c r="AA9">
        <f t="shared" si="1"/>
        <v>0.11714000681122408</v>
      </c>
    </row>
    <row r="10" spans="1:27" x14ac:dyDescent="0.3">
      <c r="A10" s="7" t="s">
        <v>53</v>
      </c>
      <c r="B10" s="8">
        <v>3.43</v>
      </c>
      <c r="C10" s="8">
        <v>3.5</v>
      </c>
      <c r="D10" s="8">
        <v>3.43</v>
      </c>
      <c r="E10" s="8">
        <v>3.37</v>
      </c>
      <c r="F10" s="8">
        <v>3.4</v>
      </c>
      <c r="G10" s="8">
        <v>3.32</v>
      </c>
      <c r="H10" s="8">
        <v>3.31</v>
      </c>
      <c r="I10" s="8">
        <v>3.27</v>
      </c>
      <c r="J10" s="8">
        <v>3.11</v>
      </c>
      <c r="K10" s="8">
        <v>3.03</v>
      </c>
      <c r="L10" s="8">
        <v>3.05</v>
      </c>
      <c r="M10" s="8">
        <v>3.05</v>
      </c>
      <c r="N10" s="8">
        <v>3.04</v>
      </c>
      <c r="O10" s="8">
        <v>2.92</v>
      </c>
      <c r="P10" s="8">
        <v>2.87</v>
      </c>
      <c r="Q10" s="8">
        <v>2.87</v>
      </c>
      <c r="R10" s="8">
        <v>3.03</v>
      </c>
      <c r="S10" s="8">
        <v>2.98</v>
      </c>
      <c r="T10" s="8">
        <v>2.75</v>
      </c>
      <c r="U10" s="8">
        <v>2.67</v>
      </c>
      <c r="V10" s="8">
        <v>2.67</v>
      </c>
      <c r="W10" s="5">
        <f t="shared" si="0"/>
        <v>3.0233333333333334</v>
      </c>
      <c r="X10"/>
      <c r="Y10"/>
      <c r="Z10"/>
      <c r="AA10">
        <f t="shared" si="1"/>
        <v>2.0787387649381208</v>
      </c>
    </row>
    <row r="11" spans="1:27" x14ac:dyDescent="0.3">
      <c r="A11" s="7" t="s">
        <v>55</v>
      </c>
      <c r="B11" s="8">
        <v>3.25</v>
      </c>
      <c r="C11" s="8">
        <v>3.05</v>
      </c>
      <c r="D11" s="8">
        <v>2.91</v>
      </c>
      <c r="E11" s="8">
        <v>2.94</v>
      </c>
      <c r="F11" s="8">
        <v>3.07</v>
      </c>
      <c r="G11" s="8">
        <v>3.06</v>
      </c>
      <c r="H11" s="8">
        <v>2.95</v>
      </c>
      <c r="I11" s="8">
        <v>2.92</v>
      </c>
      <c r="J11" s="8">
        <v>2.81</v>
      </c>
      <c r="K11" s="8">
        <v>2.7</v>
      </c>
      <c r="L11" s="8">
        <v>2.61</v>
      </c>
      <c r="M11" s="8">
        <v>2.63</v>
      </c>
      <c r="N11" s="8">
        <v>2.63</v>
      </c>
      <c r="O11" s="8">
        <v>2.54</v>
      </c>
      <c r="P11" s="8">
        <v>2.58</v>
      </c>
      <c r="Q11" s="8">
        <v>2.65</v>
      </c>
      <c r="R11" s="8">
        <v>2.63</v>
      </c>
      <c r="S11" s="8">
        <v>2.52</v>
      </c>
      <c r="T11" s="8">
        <v>2.5</v>
      </c>
      <c r="U11" s="8">
        <v>2.4</v>
      </c>
      <c r="V11" s="8">
        <v>2.38</v>
      </c>
      <c r="W11" s="5">
        <f t="shared" si="0"/>
        <v>2.6744444444444437</v>
      </c>
      <c r="X11"/>
      <c r="Y11"/>
      <c r="Z11"/>
      <c r="AA11">
        <f t="shared" si="1"/>
        <v>-0.41495358344992528</v>
      </c>
    </row>
    <row r="12" spans="1:27" x14ac:dyDescent="0.3">
      <c r="A12" s="7" t="s">
        <v>57</v>
      </c>
      <c r="B12" s="8">
        <v>3.17</v>
      </c>
      <c r="C12" s="8">
        <v>3.13</v>
      </c>
      <c r="D12" s="8">
        <v>3.07</v>
      </c>
      <c r="E12" s="8">
        <v>3.09</v>
      </c>
      <c r="F12" s="8">
        <v>3.08</v>
      </c>
      <c r="G12" s="8">
        <v>2.94</v>
      </c>
      <c r="H12" s="8">
        <v>2.9</v>
      </c>
      <c r="I12" s="8">
        <v>2.9</v>
      </c>
      <c r="J12" s="8">
        <v>2.82</v>
      </c>
      <c r="K12" s="8">
        <v>2.76</v>
      </c>
      <c r="L12" s="8">
        <v>2.74</v>
      </c>
      <c r="M12" s="8">
        <v>2.73</v>
      </c>
      <c r="N12" s="8">
        <v>2.72</v>
      </c>
      <c r="O12" s="8">
        <v>2.64</v>
      </c>
      <c r="P12" s="8">
        <v>2.61</v>
      </c>
      <c r="Q12" s="8">
        <v>2.64</v>
      </c>
      <c r="R12" s="8">
        <v>2.56</v>
      </c>
      <c r="S12" s="8">
        <v>2.46</v>
      </c>
      <c r="T12" s="8">
        <v>2.44</v>
      </c>
      <c r="U12" s="8">
        <v>2.39</v>
      </c>
      <c r="V12" s="8">
        <v>2.37</v>
      </c>
      <c r="W12" s="5">
        <f t="shared" si="0"/>
        <v>2.7288888888888891</v>
      </c>
      <c r="X12"/>
      <c r="Y12"/>
      <c r="Z12"/>
      <c r="AA12">
        <f t="shared" si="1"/>
        <v>-2.5810509975351607E-2</v>
      </c>
    </row>
    <row r="13" spans="1:27" x14ac:dyDescent="0.3">
      <c r="A13" s="7" t="s">
        <v>59</v>
      </c>
      <c r="B13" s="8">
        <v>2.91</v>
      </c>
      <c r="C13" s="8">
        <v>2.89</v>
      </c>
      <c r="D13" s="8">
        <v>2.87</v>
      </c>
      <c r="E13" s="8">
        <v>2.83</v>
      </c>
      <c r="F13" s="8">
        <v>2.75</v>
      </c>
      <c r="G13" s="8">
        <v>2.73</v>
      </c>
      <c r="H13" s="8">
        <v>2.76</v>
      </c>
      <c r="I13" s="8">
        <v>2.71</v>
      </c>
      <c r="J13" s="8">
        <v>2.66</v>
      </c>
      <c r="K13" s="8">
        <v>2.64</v>
      </c>
      <c r="L13" s="8">
        <v>2.56</v>
      </c>
      <c r="M13" s="8">
        <v>2.58</v>
      </c>
      <c r="N13" s="8">
        <v>2.56</v>
      </c>
      <c r="O13" s="8">
        <v>2.54</v>
      </c>
      <c r="P13" s="8">
        <v>2.54</v>
      </c>
      <c r="Q13" s="8">
        <v>2.4900000000000002</v>
      </c>
      <c r="R13" s="8">
        <v>2.48</v>
      </c>
      <c r="S13" s="8">
        <v>2.4900000000000002</v>
      </c>
      <c r="T13" s="8">
        <v>2.41</v>
      </c>
      <c r="U13" s="8">
        <v>2.36</v>
      </c>
      <c r="V13" s="8">
        <v>2.2999999999999998</v>
      </c>
      <c r="W13" s="5">
        <f t="shared" si="0"/>
        <v>2.5866666666666669</v>
      </c>
      <c r="X13"/>
      <c r="Y13"/>
      <c r="Z13"/>
      <c r="AA13">
        <f t="shared" si="1"/>
        <v>-1.0423475182354447</v>
      </c>
    </row>
    <row r="14" spans="1:27" x14ac:dyDescent="0.3">
      <c r="A14" s="7" t="s">
        <v>61</v>
      </c>
      <c r="B14" s="8">
        <v>3.3</v>
      </c>
      <c r="C14" s="8">
        <v>3.27</v>
      </c>
      <c r="D14" s="8">
        <v>3.26</v>
      </c>
      <c r="E14" s="8">
        <v>3.2</v>
      </c>
      <c r="F14" s="8">
        <v>3.19</v>
      </c>
      <c r="G14" s="8">
        <v>3.16</v>
      </c>
      <c r="H14" s="8">
        <v>3.15</v>
      </c>
      <c r="I14" s="8">
        <v>3.06</v>
      </c>
      <c r="J14" s="8">
        <v>2.93</v>
      </c>
      <c r="K14" s="8">
        <v>2.91</v>
      </c>
      <c r="L14" s="8">
        <v>2.91</v>
      </c>
      <c r="M14" s="8">
        <v>2.88</v>
      </c>
      <c r="N14" s="8">
        <v>2.76</v>
      </c>
      <c r="O14" s="8">
        <v>2.67</v>
      </c>
      <c r="P14" s="8">
        <v>2.63</v>
      </c>
      <c r="Q14" s="8">
        <v>2.6</v>
      </c>
      <c r="R14" s="8">
        <v>2.73</v>
      </c>
      <c r="S14" s="8">
        <v>2.64</v>
      </c>
      <c r="T14" s="8">
        <v>2.54</v>
      </c>
      <c r="U14" s="8">
        <v>2.54</v>
      </c>
      <c r="V14" s="8">
        <v>2.4900000000000002</v>
      </c>
      <c r="W14" s="5">
        <f t="shared" si="0"/>
        <v>2.8166666666666673</v>
      </c>
      <c r="X14"/>
      <c r="Y14"/>
      <c r="Z14"/>
      <c r="AA14">
        <f t="shared" si="1"/>
        <v>0.60158342481017735</v>
      </c>
    </row>
    <row r="15" spans="1:27" x14ac:dyDescent="0.3">
      <c r="A15" s="7" t="s">
        <v>63</v>
      </c>
      <c r="B15" s="8">
        <v>3.15</v>
      </c>
      <c r="C15" s="8">
        <v>3.15</v>
      </c>
      <c r="D15" s="8">
        <v>2.93</v>
      </c>
      <c r="E15" s="8">
        <v>2.82</v>
      </c>
      <c r="F15" s="8">
        <v>2.74</v>
      </c>
      <c r="G15" s="8">
        <v>2.73</v>
      </c>
      <c r="H15" s="8">
        <v>2.74</v>
      </c>
      <c r="I15" s="8">
        <v>2.81</v>
      </c>
      <c r="J15" s="8">
        <v>2.73</v>
      </c>
      <c r="K15" s="8">
        <v>2.69</v>
      </c>
      <c r="L15" s="8">
        <v>2.64</v>
      </c>
      <c r="M15" s="8">
        <v>2.63</v>
      </c>
      <c r="N15" s="8">
        <v>2.65</v>
      </c>
      <c r="O15" s="8">
        <v>2.69</v>
      </c>
      <c r="P15" s="8">
        <v>2.63</v>
      </c>
      <c r="Q15" s="8">
        <v>2.59</v>
      </c>
      <c r="R15" s="8">
        <v>2.56</v>
      </c>
      <c r="S15" s="8">
        <v>2.52</v>
      </c>
      <c r="T15" s="8">
        <v>2.41</v>
      </c>
      <c r="U15" s="8">
        <v>2.36</v>
      </c>
      <c r="V15" s="8">
        <v>2.4</v>
      </c>
      <c r="W15" s="5">
        <f t="shared" si="0"/>
        <v>2.6733333333333333</v>
      </c>
      <c r="X15"/>
      <c r="Y15"/>
      <c r="Z15"/>
      <c r="AA15">
        <f t="shared" si="1"/>
        <v>-0.42289527882695216</v>
      </c>
    </row>
    <row r="16" spans="1:27" x14ac:dyDescent="0.3">
      <c r="A16" s="7" t="s">
        <v>65</v>
      </c>
      <c r="B16" s="8">
        <v>3.33</v>
      </c>
      <c r="C16" s="8">
        <v>3.33</v>
      </c>
      <c r="D16" s="8">
        <v>3.27</v>
      </c>
      <c r="E16" s="8">
        <v>3.27</v>
      </c>
      <c r="F16" s="8">
        <v>3.16</v>
      </c>
      <c r="G16" s="8">
        <v>3.07</v>
      </c>
      <c r="H16" s="8">
        <v>3.14</v>
      </c>
      <c r="I16" s="8">
        <v>3.15</v>
      </c>
      <c r="J16" s="8">
        <v>3.13</v>
      </c>
      <c r="K16" s="8">
        <v>3.06</v>
      </c>
      <c r="L16" s="8">
        <v>2.99</v>
      </c>
      <c r="M16" s="8">
        <v>2.96</v>
      </c>
      <c r="N16" s="8">
        <v>2.92</v>
      </c>
      <c r="O16" s="8">
        <v>2.87</v>
      </c>
      <c r="P16" s="8">
        <v>2.86</v>
      </c>
      <c r="Q16" s="8">
        <v>2.79</v>
      </c>
      <c r="R16" s="8">
        <v>2.69</v>
      </c>
      <c r="S16" s="8">
        <v>2.56</v>
      </c>
      <c r="T16" s="8">
        <v>2.5299999999999998</v>
      </c>
      <c r="U16" s="8">
        <v>2.5</v>
      </c>
      <c r="V16" s="8">
        <v>2.5499999999999998</v>
      </c>
      <c r="W16" s="5">
        <f t="shared" si="0"/>
        <v>2.97</v>
      </c>
      <c r="X16"/>
      <c r="Y16"/>
      <c r="Z16"/>
      <c r="AA16">
        <f t="shared" si="1"/>
        <v>1.6975373868405867</v>
      </c>
    </row>
    <row r="17" spans="1:27" x14ac:dyDescent="0.3">
      <c r="A17" s="7" t="s">
        <v>67</v>
      </c>
      <c r="B17" s="8">
        <v>2.96</v>
      </c>
      <c r="C17" s="8">
        <v>2.94</v>
      </c>
      <c r="D17" s="8">
        <v>2.9</v>
      </c>
      <c r="E17" s="8">
        <v>2.97</v>
      </c>
      <c r="F17" s="8">
        <v>2.83</v>
      </c>
      <c r="G17" s="8">
        <v>2.74</v>
      </c>
      <c r="H17" s="8">
        <v>2.7</v>
      </c>
      <c r="I17" s="8">
        <v>2.75</v>
      </c>
      <c r="J17" s="8">
        <v>2.79</v>
      </c>
      <c r="K17" s="8">
        <v>2.69</v>
      </c>
      <c r="L17" s="8">
        <v>2.6</v>
      </c>
      <c r="M17" s="8">
        <v>2.56</v>
      </c>
      <c r="N17" s="8">
        <v>2.5</v>
      </c>
      <c r="O17" s="8">
        <v>2.4500000000000002</v>
      </c>
      <c r="P17" s="8">
        <v>2.37</v>
      </c>
      <c r="Q17" s="8">
        <v>2.44</v>
      </c>
      <c r="R17" s="8">
        <v>2.4</v>
      </c>
      <c r="S17" s="8">
        <v>2.2999999999999998</v>
      </c>
      <c r="T17" s="8">
        <v>2.27</v>
      </c>
      <c r="U17" s="8">
        <v>2.27</v>
      </c>
      <c r="V17" s="8">
        <v>2.15</v>
      </c>
      <c r="W17" s="5">
        <f t="shared" si="0"/>
        <v>2.5722222222222224</v>
      </c>
      <c r="X17"/>
      <c r="Y17"/>
      <c r="Z17"/>
      <c r="AA17">
        <f t="shared" si="1"/>
        <v>-1.1455895581368607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DE9E-6A1F-4839-911C-F605A4A727B8}">
  <dimension ref="B1:AB17"/>
  <sheetViews>
    <sheetView zoomScale="70" workbookViewId="0">
      <selection activeCell="AB2" sqref="AB2:AB17"/>
    </sheetView>
  </sheetViews>
  <sheetFormatPr defaultRowHeight="14.4" x14ac:dyDescent="0.3"/>
  <cols>
    <col min="1" max="16384" width="8.88671875" style="7"/>
  </cols>
  <sheetData>
    <row r="1" spans="2:28" ht="43.2" x14ac:dyDescent="0.3">
      <c r="B1" s="12" t="s">
        <v>71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9" t="s">
        <v>32</v>
      </c>
      <c r="U1" s="9" t="s">
        <v>33</v>
      </c>
      <c r="V1" s="9" t="s">
        <v>34</v>
      </c>
      <c r="W1" s="9" t="s">
        <v>35</v>
      </c>
      <c r="X1" s="1" t="s">
        <v>68</v>
      </c>
      <c r="Y1"/>
      <c r="Z1"/>
      <c r="AA1"/>
      <c r="AB1"/>
    </row>
    <row r="2" spans="2:28" x14ac:dyDescent="0.3">
      <c r="B2" s="7" t="s">
        <v>37</v>
      </c>
      <c r="C2" s="11">
        <v>22.9</v>
      </c>
      <c r="D2" s="11">
        <v>23.1</v>
      </c>
      <c r="E2" s="11">
        <v>23.4</v>
      </c>
      <c r="F2" s="11">
        <v>23.7</v>
      </c>
      <c r="G2" s="11">
        <v>24.1</v>
      </c>
      <c r="H2" s="11">
        <v>24.6</v>
      </c>
      <c r="I2" s="11">
        <v>26.3</v>
      </c>
      <c r="J2" s="11">
        <v>26.6</v>
      </c>
      <c r="K2" s="11">
        <v>27</v>
      </c>
      <c r="L2" s="11">
        <v>27.5</v>
      </c>
      <c r="M2" s="11">
        <v>27.9</v>
      </c>
      <c r="N2" s="11">
        <v>28.3</v>
      </c>
      <c r="O2" s="11">
        <v>28.7</v>
      </c>
      <c r="P2" s="11">
        <v>29.2</v>
      </c>
      <c r="Q2" s="11">
        <v>29.7</v>
      </c>
      <c r="R2" s="11">
        <v>30.3</v>
      </c>
      <c r="S2" s="11">
        <v>30.5</v>
      </c>
      <c r="T2" s="11">
        <v>31.1</v>
      </c>
      <c r="U2" s="11">
        <v>31.7</v>
      </c>
      <c r="V2" s="11">
        <v>32.4</v>
      </c>
      <c r="W2" s="11">
        <v>33</v>
      </c>
      <c r="X2" s="5">
        <f t="shared" ref="X2:X17" si="0">AVERAGE(J2:R2)</f>
        <v>28.355555555555554</v>
      </c>
      <c r="Y2"/>
      <c r="Z2" s="6" t="s">
        <v>69</v>
      </c>
      <c r="AA2"/>
      <c r="AB2">
        <f>(X2-$Z$3)/$Z$5</f>
        <v>1.0213934129888924</v>
      </c>
    </row>
    <row r="3" spans="2:28" x14ac:dyDescent="0.3">
      <c r="B3" s="7" t="s">
        <v>39</v>
      </c>
      <c r="C3" s="11">
        <v>21.1</v>
      </c>
      <c r="D3" s="11">
        <v>21.3</v>
      </c>
      <c r="E3" s="11">
        <v>21.5</v>
      </c>
      <c r="F3" s="11">
        <v>21.7</v>
      </c>
      <c r="G3" s="11">
        <v>22</v>
      </c>
      <c r="H3" s="11">
        <v>22.3</v>
      </c>
      <c r="I3" s="11">
        <v>23</v>
      </c>
      <c r="J3" s="11">
        <v>23.2</v>
      </c>
      <c r="K3" s="11">
        <v>23.5</v>
      </c>
      <c r="L3" s="11">
        <v>23.8</v>
      </c>
      <c r="M3" s="11">
        <v>24.1</v>
      </c>
      <c r="N3" s="11">
        <v>24.5</v>
      </c>
      <c r="O3" s="11">
        <v>24.8</v>
      </c>
      <c r="P3" s="11">
        <v>25.1</v>
      </c>
      <c r="Q3" s="11">
        <v>25.5</v>
      </c>
      <c r="R3" s="11">
        <v>25.9</v>
      </c>
      <c r="S3" s="11">
        <v>27.2</v>
      </c>
      <c r="T3" s="11">
        <v>27.7</v>
      </c>
      <c r="U3" s="11">
        <v>28.3</v>
      </c>
      <c r="V3" s="11">
        <v>28.9</v>
      </c>
      <c r="W3" s="11">
        <v>29.4</v>
      </c>
      <c r="X3" s="5">
        <f t="shared" si="0"/>
        <v>24.488888888888891</v>
      </c>
      <c r="Y3"/>
      <c r="Z3" s="5">
        <f>AVERAGE(X2:X17)</f>
        <v>26.773611111111116</v>
      </c>
      <c r="AA3"/>
      <c r="AB3">
        <f t="shared" ref="AB3:AB17" si="1">(X3-$Z$3)/$Z$5</f>
        <v>-1.4751467641499003</v>
      </c>
    </row>
    <row r="4" spans="2:28" x14ac:dyDescent="0.3">
      <c r="B4" s="7" t="s">
        <v>41</v>
      </c>
      <c r="C4" s="11">
        <v>23.3</v>
      </c>
      <c r="D4" s="11">
        <v>23.6</v>
      </c>
      <c r="E4" s="11">
        <v>23.9</v>
      </c>
      <c r="F4" s="11">
        <v>24.2</v>
      </c>
      <c r="G4" s="11">
        <v>24.6</v>
      </c>
      <c r="H4" s="11">
        <v>25</v>
      </c>
      <c r="I4" s="11">
        <v>25.5</v>
      </c>
      <c r="J4" s="11">
        <v>25.9</v>
      </c>
      <c r="K4" s="11">
        <v>26.2</v>
      </c>
      <c r="L4" s="11">
        <v>26.6</v>
      </c>
      <c r="M4" s="11">
        <v>27</v>
      </c>
      <c r="N4" s="11">
        <v>27.4</v>
      </c>
      <c r="O4" s="11">
        <v>27.7</v>
      </c>
      <c r="P4" s="11">
        <v>28.1</v>
      </c>
      <c r="Q4" s="11">
        <v>28.5</v>
      </c>
      <c r="R4" s="11">
        <v>29</v>
      </c>
      <c r="S4" s="11">
        <v>30.2</v>
      </c>
      <c r="T4" s="11">
        <v>30.7</v>
      </c>
      <c r="U4" s="11">
        <v>31.3</v>
      </c>
      <c r="V4" s="11">
        <v>31.9</v>
      </c>
      <c r="W4" s="11">
        <v>32.5</v>
      </c>
      <c r="X4" s="5">
        <f t="shared" si="0"/>
        <v>27.377777777777776</v>
      </c>
      <c r="Y4"/>
      <c r="Z4" s="6" t="s">
        <v>70</v>
      </c>
      <c r="AA4"/>
      <c r="AB4">
        <f t="shared" si="1"/>
        <v>0.39008440267793282</v>
      </c>
    </row>
    <row r="5" spans="2:28" x14ac:dyDescent="0.3">
      <c r="B5" s="7" t="s">
        <v>43</v>
      </c>
      <c r="C5" s="11">
        <v>22.4</v>
      </c>
      <c r="D5" s="11">
        <v>22.6</v>
      </c>
      <c r="E5" s="11">
        <v>22.9</v>
      </c>
      <c r="F5" s="11">
        <v>23.2</v>
      </c>
      <c r="G5" s="11">
        <v>23.6</v>
      </c>
      <c r="H5" s="11">
        <v>24</v>
      </c>
      <c r="I5" s="11">
        <v>24.8</v>
      </c>
      <c r="J5" s="11">
        <v>25.1</v>
      </c>
      <c r="K5" s="11">
        <v>25.4</v>
      </c>
      <c r="L5" s="11">
        <v>25.7</v>
      </c>
      <c r="M5" s="11">
        <v>26</v>
      </c>
      <c r="N5" s="11">
        <v>26.3</v>
      </c>
      <c r="O5" s="11">
        <v>26.7</v>
      </c>
      <c r="P5" s="11">
        <v>27</v>
      </c>
      <c r="Q5" s="11">
        <v>27.4</v>
      </c>
      <c r="R5" s="11">
        <v>27.8</v>
      </c>
      <c r="S5" s="11">
        <v>28.7</v>
      </c>
      <c r="T5" s="11">
        <v>29.3</v>
      </c>
      <c r="U5" s="11">
        <v>30</v>
      </c>
      <c r="V5" s="11">
        <v>30.6</v>
      </c>
      <c r="W5" s="11">
        <v>31.1</v>
      </c>
      <c r="X5" s="5">
        <f t="shared" si="0"/>
        <v>26.37777777777778</v>
      </c>
      <c r="Y5"/>
      <c r="Z5">
        <f>_xlfn.STDEV.S(X2:X17)</f>
        <v>1.5488101101173266</v>
      </c>
      <c r="AA5"/>
      <c r="AB5">
        <f t="shared" si="1"/>
        <v>-0.25557253968554622</v>
      </c>
    </row>
    <row r="6" spans="2:28" x14ac:dyDescent="0.3">
      <c r="B6" s="7" t="s">
        <v>45</v>
      </c>
      <c r="C6" s="11">
        <v>23.7</v>
      </c>
      <c r="D6" s="11">
        <v>23.9</v>
      </c>
      <c r="E6" s="11">
        <v>24.2</v>
      </c>
      <c r="F6" s="11">
        <v>24.5</v>
      </c>
      <c r="G6" s="11">
        <v>24.9</v>
      </c>
      <c r="H6" s="11">
        <v>25.2</v>
      </c>
      <c r="I6" s="11">
        <v>25.8</v>
      </c>
      <c r="J6" s="11">
        <v>26.2</v>
      </c>
      <c r="K6" s="11">
        <v>26.5</v>
      </c>
      <c r="L6" s="11">
        <v>26.9</v>
      </c>
      <c r="M6" s="11">
        <v>27.3</v>
      </c>
      <c r="N6" s="11">
        <v>27.6</v>
      </c>
      <c r="O6" s="11">
        <v>28</v>
      </c>
      <c r="P6" s="11">
        <v>28.4</v>
      </c>
      <c r="Q6" s="11">
        <v>28.8</v>
      </c>
      <c r="R6" s="11">
        <v>29.3</v>
      </c>
      <c r="S6" s="11">
        <v>30.7</v>
      </c>
      <c r="T6" s="11">
        <v>31.3</v>
      </c>
      <c r="U6" s="11">
        <v>32</v>
      </c>
      <c r="V6" s="11">
        <v>32.6</v>
      </c>
      <c r="W6" s="11">
        <v>33.200000000000003</v>
      </c>
      <c r="X6" s="5">
        <f t="shared" si="0"/>
        <v>27.666666666666671</v>
      </c>
      <c r="Y6"/>
      <c r="Z6"/>
      <c r="AA6"/>
      <c r="AB6">
        <f t="shared" si="1"/>
        <v>0.5766075193607203</v>
      </c>
    </row>
    <row r="7" spans="2:28" x14ac:dyDescent="0.3">
      <c r="B7" s="7" t="s">
        <v>47</v>
      </c>
      <c r="C7" s="11">
        <v>22.8</v>
      </c>
      <c r="D7" s="11">
        <v>23</v>
      </c>
      <c r="E7" s="11">
        <v>23.3</v>
      </c>
      <c r="F7" s="11">
        <v>23.6</v>
      </c>
      <c r="G7" s="11">
        <v>24.1</v>
      </c>
      <c r="H7" s="11">
        <v>24.5</v>
      </c>
      <c r="I7" s="11">
        <v>24.6</v>
      </c>
      <c r="J7" s="11">
        <v>24.9</v>
      </c>
      <c r="K7" s="11">
        <v>25.3</v>
      </c>
      <c r="L7" s="11">
        <v>25.7</v>
      </c>
      <c r="M7" s="11">
        <v>26.1</v>
      </c>
      <c r="N7" s="11">
        <v>26.5</v>
      </c>
      <c r="O7" s="11">
        <v>26.9</v>
      </c>
      <c r="P7" s="11">
        <v>27.3</v>
      </c>
      <c r="Q7" s="11">
        <v>27.7</v>
      </c>
      <c r="R7" s="11">
        <v>28.2</v>
      </c>
      <c r="S7" s="11">
        <v>30</v>
      </c>
      <c r="T7" s="11">
        <v>30.5</v>
      </c>
      <c r="U7" s="11">
        <v>31</v>
      </c>
      <c r="V7" s="11">
        <v>31.5</v>
      </c>
      <c r="W7" s="11">
        <v>32</v>
      </c>
      <c r="X7" s="5">
        <f t="shared" si="0"/>
        <v>26.511111111111109</v>
      </c>
      <c r="Y7"/>
      <c r="Z7"/>
      <c r="AA7"/>
      <c r="AB7">
        <f t="shared" si="1"/>
        <v>-0.169484947370418</v>
      </c>
    </row>
    <row r="8" spans="2:28" x14ac:dyDescent="0.3">
      <c r="B8" s="7" t="s">
        <v>49</v>
      </c>
      <c r="C8" s="11">
        <v>24.1</v>
      </c>
      <c r="D8" s="11">
        <v>24.4</v>
      </c>
      <c r="E8" s="11">
        <v>24.8</v>
      </c>
      <c r="F8" s="11">
        <v>25.2</v>
      </c>
      <c r="G8" s="11">
        <v>25.8</v>
      </c>
      <c r="H8" s="11">
        <v>26.4</v>
      </c>
      <c r="I8" s="11">
        <v>27.6</v>
      </c>
      <c r="J8" s="11">
        <v>28</v>
      </c>
      <c r="K8" s="11">
        <v>28.4</v>
      </c>
      <c r="L8" s="11">
        <v>28.8</v>
      </c>
      <c r="M8" s="11">
        <v>29.1</v>
      </c>
      <c r="N8" s="11">
        <v>29.5</v>
      </c>
      <c r="O8" s="11">
        <v>29.9</v>
      </c>
      <c r="P8" s="11">
        <v>30.3</v>
      </c>
      <c r="Q8" s="11">
        <v>30.8</v>
      </c>
      <c r="R8" s="11">
        <v>31.3</v>
      </c>
      <c r="S8" s="11">
        <v>32.1</v>
      </c>
      <c r="T8" s="11">
        <v>32.700000000000003</v>
      </c>
      <c r="U8" s="11">
        <v>33.299999999999997</v>
      </c>
      <c r="V8" s="11">
        <v>33.9</v>
      </c>
      <c r="W8" s="11">
        <v>34.5</v>
      </c>
      <c r="X8" s="5">
        <f t="shared" si="0"/>
        <v>29.56666666666667</v>
      </c>
      <c r="Y8"/>
      <c r="Z8"/>
      <c r="AA8"/>
      <c r="AB8">
        <f t="shared" si="1"/>
        <v>1.803355709851334</v>
      </c>
    </row>
    <row r="9" spans="2:28" x14ac:dyDescent="0.3">
      <c r="B9" s="7" t="s">
        <v>51</v>
      </c>
      <c r="C9" s="11">
        <v>24.2</v>
      </c>
      <c r="D9" s="11">
        <v>24.4</v>
      </c>
      <c r="E9" s="11">
        <v>24.7</v>
      </c>
      <c r="F9" s="11">
        <v>25</v>
      </c>
      <c r="G9" s="11">
        <v>25.3</v>
      </c>
      <c r="H9" s="11">
        <v>25.6</v>
      </c>
      <c r="I9" s="11">
        <v>26.8</v>
      </c>
      <c r="J9" s="11">
        <v>27.1</v>
      </c>
      <c r="K9" s="11">
        <v>27.4</v>
      </c>
      <c r="L9" s="11">
        <v>27.8</v>
      </c>
      <c r="M9" s="11">
        <v>28.1</v>
      </c>
      <c r="N9" s="11">
        <v>28.4</v>
      </c>
      <c r="O9" s="11">
        <v>28.7</v>
      </c>
      <c r="P9" s="11">
        <v>29</v>
      </c>
      <c r="Q9" s="11">
        <v>29.4</v>
      </c>
      <c r="R9" s="11">
        <v>29.8</v>
      </c>
      <c r="S9" s="11">
        <v>30.8</v>
      </c>
      <c r="T9" s="11">
        <v>31.3</v>
      </c>
      <c r="U9" s="11">
        <v>31.8</v>
      </c>
      <c r="V9" s="11">
        <v>32.299999999999997</v>
      </c>
      <c r="W9" s="11">
        <v>32.799999999999997</v>
      </c>
      <c r="X9" s="5">
        <f t="shared" si="0"/>
        <v>28.411111111111111</v>
      </c>
      <c r="Y9"/>
      <c r="Z9"/>
      <c r="AA9"/>
      <c r="AB9">
        <f t="shared" si="1"/>
        <v>1.057263243120198</v>
      </c>
    </row>
    <row r="10" spans="2:28" x14ac:dyDescent="0.3">
      <c r="B10" s="7" t="s">
        <v>53</v>
      </c>
      <c r="C10" s="11">
        <v>21.9</v>
      </c>
      <c r="D10" s="11">
        <v>22.1</v>
      </c>
      <c r="E10" s="11">
        <v>22.3</v>
      </c>
      <c r="F10" s="11">
        <v>22.6</v>
      </c>
      <c r="G10" s="11">
        <v>22.9</v>
      </c>
      <c r="H10" s="11">
        <v>23.1</v>
      </c>
      <c r="I10" s="11">
        <v>23.2</v>
      </c>
      <c r="J10" s="11">
        <v>23.4</v>
      </c>
      <c r="K10" s="11">
        <v>23.7</v>
      </c>
      <c r="L10" s="11">
        <v>24</v>
      </c>
      <c r="M10" s="11">
        <v>24.4</v>
      </c>
      <c r="N10" s="11">
        <v>24.7</v>
      </c>
      <c r="O10" s="11">
        <v>25.1</v>
      </c>
      <c r="P10" s="11">
        <v>25.4</v>
      </c>
      <c r="Q10" s="11">
        <v>25.8</v>
      </c>
      <c r="R10" s="11">
        <v>26.2</v>
      </c>
      <c r="S10" s="11">
        <v>27.9</v>
      </c>
      <c r="T10" s="11">
        <v>28.4</v>
      </c>
      <c r="U10" s="11">
        <v>29</v>
      </c>
      <c r="V10" s="11">
        <v>29.5</v>
      </c>
      <c r="W10" s="11">
        <v>30</v>
      </c>
      <c r="X10" s="5">
        <f t="shared" si="0"/>
        <v>24.744444444444447</v>
      </c>
      <c r="Y10"/>
      <c r="Z10"/>
      <c r="AA10"/>
      <c r="AB10">
        <f t="shared" si="1"/>
        <v>-1.3101455455458988</v>
      </c>
    </row>
    <row r="11" spans="2:28" x14ac:dyDescent="0.3">
      <c r="B11" s="7" t="s">
        <v>55</v>
      </c>
      <c r="C11" s="11">
        <v>23.9</v>
      </c>
      <c r="D11" s="11">
        <v>24.2</v>
      </c>
      <c r="E11" s="11">
        <v>24.5</v>
      </c>
      <c r="F11" s="11">
        <v>24.9</v>
      </c>
      <c r="G11" s="11">
        <v>25.3</v>
      </c>
      <c r="H11" s="11">
        <v>25.7</v>
      </c>
      <c r="I11" s="11">
        <v>26.2</v>
      </c>
      <c r="J11" s="11">
        <v>26.6</v>
      </c>
      <c r="K11" s="11">
        <v>27</v>
      </c>
      <c r="L11" s="11">
        <v>27.4</v>
      </c>
      <c r="M11" s="11">
        <v>27.8</v>
      </c>
      <c r="N11" s="11">
        <v>28.2</v>
      </c>
      <c r="O11" s="11">
        <v>28.7</v>
      </c>
      <c r="P11" s="11">
        <v>29.1</v>
      </c>
      <c r="Q11" s="11">
        <v>29.6</v>
      </c>
      <c r="R11" s="11">
        <v>30.1</v>
      </c>
      <c r="S11" s="11">
        <v>30.9</v>
      </c>
      <c r="T11" s="11">
        <v>31.6</v>
      </c>
      <c r="U11" s="11">
        <v>32.200000000000003</v>
      </c>
      <c r="V11" s="11">
        <v>32.799999999999997</v>
      </c>
      <c r="W11" s="11">
        <v>33.5</v>
      </c>
      <c r="X11" s="5">
        <f t="shared" si="0"/>
        <v>28.277777777777775</v>
      </c>
      <c r="Y11"/>
      <c r="Z11"/>
      <c r="AA11"/>
      <c r="AB11">
        <f t="shared" si="1"/>
        <v>0.97117565080506518</v>
      </c>
    </row>
    <row r="12" spans="2:28" x14ac:dyDescent="0.3">
      <c r="B12" s="7" t="s">
        <v>57</v>
      </c>
      <c r="C12" s="11">
        <v>22</v>
      </c>
      <c r="D12" s="11">
        <v>22.2</v>
      </c>
      <c r="E12" s="11">
        <v>22.6</v>
      </c>
      <c r="F12" s="11">
        <v>22.9</v>
      </c>
      <c r="G12" s="11">
        <v>23.4</v>
      </c>
      <c r="H12" s="11">
        <v>23.8</v>
      </c>
      <c r="I12" s="11">
        <v>24.3</v>
      </c>
      <c r="J12" s="11">
        <v>24.6</v>
      </c>
      <c r="K12" s="11">
        <v>25</v>
      </c>
      <c r="L12" s="11">
        <v>25.3</v>
      </c>
      <c r="M12" s="11">
        <v>25.6</v>
      </c>
      <c r="N12" s="11">
        <v>26</v>
      </c>
      <c r="O12" s="11">
        <v>26.4</v>
      </c>
      <c r="P12" s="11">
        <v>26.8</v>
      </c>
      <c r="Q12" s="11">
        <v>27.2</v>
      </c>
      <c r="R12" s="11">
        <v>27.7</v>
      </c>
      <c r="S12" s="11">
        <v>29</v>
      </c>
      <c r="T12" s="11">
        <v>29.5</v>
      </c>
      <c r="U12" s="11">
        <v>30.1</v>
      </c>
      <c r="V12" s="11">
        <v>30.7</v>
      </c>
      <c r="W12" s="11">
        <v>31.2</v>
      </c>
      <c r="X12" s="5">
        <f t="shared" si="0"/>
        <v>26.066666666666666</v>
      </c>
      <c r="Y12"/>
      <c r="Z12"/>
      <c r="AA12"/>
      <c r="AB12">
        <f t="shared" si="1"/>
        <v>-0.45644358842085314</v>
      </c>
    </row>
    <row r="13" spans="2:28" x14ac:dyDescent="0.3">
      <c r="B13" s="7" t="s">
        <v>59</v>
      </c>
      <c r="C13" s="11">
        <v>23.4</v>
      </c>
      <c r="D13" s="11">
        <v>23.7</v>
      </c>
      <c r="E13" s="11">
        <v>23.9</v>
      </c>
      <c r="F13" s="11">
        <v>24.2</v>
      </c>
      <c r="G13" s="11">
        <v>24.6</v>
      </c>
      <c r="H13" s="11">
        <v>24.9</v>
      </c>
      <c r="I13" s="11">
        <v>25.3</v>
      </c>
      <c r="J13" s="11">
        <v>25.5</v>
      </c>
      <c r="K13" s="11">
        <v>25.8</v>
      </c>
      <c r="L13" s="11">
        <v>26.2</v>
      </c>
      <c r="M13" s="11">
        <v>26.5</v>
      </c>
      <c r="N13" s="11">
        <v>26.8</v>
      </c>
      <c r="O13" s="11">
        <v>27.2</v>
      </c>
      <c r="P13" s="11">
        <v>27.5</v>
      </c>
      <c r="Q13" s="11">
        <v>27.9</v>
      </c>
      <c r="R13" s="11">
        <v>28.3</v>
      </c>
      <c r="S13" s="11">
        <v>29.7</v>
      </c>
      <c r="T13" s="11">
        <v>30.2</v>
      </c>
      <c r="U13" s="11">
        <v>30.8</v>
      </c>
      <c r="V13" s="11">
        <v>31.4</v>
      </c>
      <c r="W13" s="11">
        <v>31.9</v>
      </c>
      <c r="X13" s="5">
        <f t="shared" si="0"/>
        <v>26.855555555555558</v>
      </c>
      <c r="Y13"/>
      <c r="Z13"/>
      <c r="AA13"/>
      <c r="AB13">
        <f t="shared" si="1"/>
        <v>5.2907999443672693E-2</v>
      </c>
    </row>
    <row r="14" spans="2:28" x14ac:dyDescent="0.3">
      <c r="B14" s="7" t="s">
        <v>61</v>
      </c>
      <c r="C14" s="11">
        <v>22.6</v>
      </c>
      <c r="D14" s="11">
        <v>22.8</v>
      </c>
      <c r="E14" s="11">
        <v>23</v>
      </c>
      <c r="F14" s="11">
        <v>23.2</v>
      </c>
      <c r="G14" s="11">
        <v>23.5</v>
      </c>
      <c r="H14" s="11">
        <v>23.7</v>
      </c>
      <c r="I14" s="11">
        <v>24.2</v>
      </c>
      <c r="J14" s="11">
        <v>24.5</v>
      </c>
      <c r="K14" s="11">
        <v>24.8</v>
      </c>
      <c r="L14" s="11">
        <v>25.1</v>
      </c>
      <c r="M14" s="11">
        <v>25.5</v>
      </c>
      <c r="N14" s="11">
        <v>25.9</v>
      </c>
      <c r="O14" s="11">
        <v>26.2</v>
      </c>
      <c r="P14" s="11">
        <v>26.6</v>
      </c>
      <c r="Q14" s="11">
        <v>27</v>
      </c>
      <c r="R14" s="11">
        <v>27.4</v>
      </c>
      <c r="S14" s="11">
        <v>29.1</v>
      </c>
      <c r="T14" s="11">
        <v>29.6</v>
      </c>
      <c r="U14" s="11">
        <v>30.2</v>
      </c>
      <c r="V14" s="11">
        <v>30.8</v>
      </c>
      <c r="W14" s="11">
        <v>31.4</v>
      </c>
      <c r="X14" s="5">
        <f t="shared" si="0"/>
        <v>25.888888888888889</v>
      </c>
      <c r="Y14"/>
      <c r="Z14"/>
      <c r="AA14"/>
      <c r="AB14">
        <f t="shared" si="1"/>
        <v>-0.57122704484102715</v>
      </c>
    </row>
    <row r="15" spans="2:28" x14ac:dyDescent="0.3">
      <c r="B15" s="7" t="s">
        <v>63</v>
      </c>
      <c r="C15" s="11">
        <v>20.6</v>
      </c>
      <c r="D15" s="11">
        <v>20.8</v>
      </c>
      <c r="E15" s="11">
        <v>21.1</v>
      </c>
      <c r="F15" s="11">
        <v>21.4</v>
      </c>
      <c r="G15" s="11">
        <v>21.8</v>
      </c>
      <c r="H15" s="11">
        <v>22.1</v>
      </c>
      <c r="I15" s="11">
        <v>22.2</v>
      </c>
      <c r="J15" s="11">
        <v>22.5</v>
      </c>
      <c r="K15" s="11">
        <v>22.9</v>
      </c>
      <c r="L15" s="11">
        <v>23.3</v>
      </c>
      <c r="M15" s="11">
        <v>23.6</v>
      </c>
      <c r="N15" s="11">
        <v>23.9</v>
      </c>
      <c r="O15" s="11">
        <v>24.2</v>
      </c>
      <c r="P15" s="11">
        <v>24.6</v>
      </c>
      <c r="Q15" s="11">
        <v>25</v>
      </c>
      <c r="R15" s="11">
        <v>25.4</v>
      </c>
      <c r="S15" s="11">
        <v>26.5</v>
      </c>
      <c r="T15" s="11">
        <v>27</v>
      </c>
      <c r="U15" s="11">
        <v>27.6</v>
      </c>
      <c r="V15" s="11">
        <v>28.1</v>
      </c>
      <c r="W15" s="11">
        <v>28.6</v>
      </c>
      <c r="X15" s="5">
        <f t="shared" si="0"/>
        <v>23.933333333333334</v>
      </c>
      <c r="Y15"/>
      <c r="Z15"/>
      <c r="AA15"/>
      <c r="AB15">
        <f t="shared" si="1"/>
        <v>-1.8338450654629463</v>
      </c>
    </row>
    <row r="16" spans="2:28" x14ac:dyDescent="0.3">
      <c r="B16" s="7" t="s">
        <v>65</v>
      </c>
      <c r="C16" s="11">
        <v>23.4</v>
      </c>
      <c r="D16" s="11">
        <v>23.6</v>
      </c>
      <c r="E16" s="11">
        <v>23.9</v>
      </c>
      <c r="F16" s="11">
        <v>24.2</v>
      </c>
      <c r="G16" s="11">
        <v>24.6</v>
      </c>
      <c r="H16" s="11">
        <v>24.9</v>
      </c>
      <c r="I16" s="11">
        <v>25.7</v>
      </c>
      <c r="J16" s="11">
        <v>26</v>
      </c>
      <c r="K16" s="11">
        <v>26.3</v>
      </c>
      <c r="L16" s="11">
        <v>26.7</v>
      </c>
      <c r="M16" s="11">
        <v>27</v>
      </c>
      <c r="N16" s="11">
        <v>27.4</v>
      </c>
      <c r="O16" s="11">
        <v>27.8</v>
      </c>
      <c r="P16" s="11">
        <v>28.2</v>
      </c>
      <c r="Q16" s="11">
        <v>28.7</v>
      </c>
      <c r="R16" s="11">
        <v>29.2</v>
      </c>
      <c r="S16" s="11">
        <v>30.4</v>
      </c>
      <c r="T16" s="11">
        <v>31</v>
      </c>
      <c r="U16" s="11">
        <v>31.7</v>
      </c>
      <c r="V16" s="11">
        <v>32.299999999999997</v>
      </c>
      <c r="W16" s="11">
        <v>32.799999999999997</v>
      </c>
      <c r="X16" s="5">
        <f t="shared" si="0"/>
        <v>27.477777777777774</v>
      </c>
      <c r="Y16"/>
      <c r="Z16"/>
      <c r="AA16"/>
      <c r="AB16">
        <f t="shared" si="1"/>
        <v>0.4546500969142796</v>
      </c>
    </row>
    <row r="17" spans="2:28" x14ac:dyDescent="0.3">
      <c r="B17" s="7" t="s">
        <v>67</v>
      </c>
      <c r="C17" s="11">
        <v>22</v>
      </c>
      <c r="D17" s="11">
        <v>22.3</v>
      </c>
      <c r="E17" s="11">
        <v>22.6</v>
      </c>
      <c r="F17" s="11">
        <v>22.9</v>
      </c>
      <c r="G17" s="11">
        <v>23.3</v>
      </c>
      <c r="H17" s="11">
        <v>23.7</v>
      </c>
      <c r="I17" s="11">
        <v>24.7</v>
      </c>
      <c r="J17" s="11">
        <v>25</v>
      </c>
      <c r="K17" s="11">
        <v>25.3</v>
      </c>
      <c r="L17" s="11">
        <v>25.6</v>
      </c>
      <c r="M17" s="11">
        <v>26</v>
      </c>
      <c r="N17" s="11">
        <v>26.3</v>
      </c>
      <c r="O17" s="11">
        <v>26.7</v>
      </c>
      <c r="P17" s="11">
        <v>27.1</v>
      </c>
      <c r="Q17" s="11">
        <v>27.5</v>
      </c>
      <c r="R17" s="11">
        <v>27.9</v>
      </c>
      <c r="S17" s="11">
        <v>29</v>
      </c>
      <c r="T17" s="11">
        <v>29.6</v>
      </c>
      <c r="U17" s="11">
        <v>30.2</v>
      </c>
      <c r="V17" s="11">
        <v>30.8</v>
      </c>
      <c r="W17" s="11">
        <v>31.3</v>
      </c>
      <c r="X17" s="5">
        <f t="shared" si="0"/>
        <v>26.37777777777778</v>
      </c>
      <c r="Y17"/>
      <c r="Z17"/>
      <c r="AA17"/>
      <c r="AB17">
        <f t="shared" si="1"/>
        <v>-0.25557253968554622</v>
      </c>
    </row>
  </sheetData>
  <mergeCells count="1">
    <mergeCell ref="B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B4D6-FA2A-44C2-8DA9-39321F025581}">
  <dimension ref="A1:C17"/>
  <sheetViews>
    <sheetView tabSelected="1" workbookViewId="0">
      <selection activeCell="B1" sqref="B1:B1048576"/>
    </sheetView>
  </sheetViews>
  <sheetFormatPr defaultRowHeight="14.4" x14ac:dyDescent="0.3"/>
  <sheetData>
    <row r="1" spans="1:3" x14ac:dyDescent="0.3">
      <c r="A1" s="6" t="s">
        <v>75</v>
      </c>
      <c r="B1" s="6" t="s">
        <v>74</v>
      </c>
      <c r="C1" s="6" t="s">
        <v>73</v>
      </c>
    </row>
    <row r="2" spans="1:3" x14ac:dyDescent="0.3">
      <c r="A2" t="s">
        <v>36</v>
      </c>
      <c r="B2">
        <v>-1.2885400749234395</v>
      </c>
      <c r="C2">
        <v>1.0213934129888924</v>
      </c>
    </row>
    <row r="3" spans="1:3" x14ac:dyDescent="0.3">
      <c r="A3" t="s">
        <v>38</v>
      </c>
      <c r="B3">
        <v>0.33156578199108605</v>
      </c>
      <c r="C3">
        <v>-1.4751467641499003</v>
      </c>
    </row>
    <row r="4" spans="1:3" x14ac:dyDescent="0.3">
      <c r="A4" t="s">
        <v>40</v>
      </c>
      <c r="B4">
        <v>0.65717529244939721</v>
      </c>
      <c r="C4">
        <v>0.39008440267793282</v>
      </c>
    </row>
    <row r="5" spans="1:3" x14ac:dyDescent="0.3">
      <c r="A5" t="s">
        <v>42</v>
      </c>
      <c r="B5">
        <v>-0.33553662967959946</v>
      </c>
      <c r="C5">
        <v>-0.25557253968554622</v>
      </c>
    </row>
    <row r="6" spans="1:3" x14ac:dyDescent="0.3">
      <c r="A6" t="s">
        <v>44</v>
      </c>
      <c r="B6">
        <v>-1.050289213612478</v>
      </c>
      <c r="C6">
        <v>0.5766075193607203</v>
      </c>
    </row>
    <row r="7" spans="1:3" x14ac:dyDescent="0.3">
      <c r="A7" t="s">
        <v>46</v>
      </c>
      <c r="B7">
        <v>0.90336784913739199</v>
      </c>
      <c r="C7">
        <v>-0.169484947370418</v>
      </c>
    </row>
    <row r="8" spans="1:3" x14ac:dyDescent="0.3">
      <c r="A8" t="s">
        <v>48</v>
      </c>
      <c r="B8">
        <v>-0.6611461401379074</v>
      </c>
      <c r="C8">
        <v>1.803355709851334</v>
      </c>
    </row>
    <row r="9" spans="1:3" x14ac:dyDescent="0.3">
      <c r="A9" t="s">
        <v>50</v>
      </c>
      <c r="B9">
        <v>0.11714000681122408</v>
      </c>
      <c r="C9">
        <v>1.057263243120198</v>
      </c>
    </row>
    <row r="10" spans="1:3" x14ac:dyDescent="0.3">
      <c r="A10" t="s">
        <v>52</v>
      </c>
      <c r="B10">
        <v>2.0787387649381208</v>
      </c>
      <c r="C10">
        <v>-1.3101455455458988</v>
      </c>
    </row>
    <row r="11" spans="1:3" x14ac:dyDescent="0.3">
      <c r="A11" t="s">
        <v>54</v>
      </c>
      <c r="B11">
        <v>-0.41495358344992528</v>
      </c>
      <c r="C11">
        <v>0.97117565080506518</v>
      </c>
    </row>
    <row r="12" spans="1:3" x14ac:dyDescent="0.3">
      <c r="A12" t="s">
        <v>56</v>
      </c>
      <c r="B12">
        <v>-2.5810509975351607E-2</v>
      </c>
      <c r="C12">
        <v>-0.45644358842085314</v>
      </c>
    </row>
    <row r="13" spans="1:3" x14ac:dyDescent="0.3">
      <c r="A13" t="s">
        <v>58</v>
      </c>
      <c r="B13">
        <v>-1.0423475182354447</v>
      </c>
      <c r="C13">
        <v>5.2907999443672693E-2</v>
      </c>
    </row>
    <row r="14" spans="1:3" x14ac:dyDescent="0.3">
      <c r="A14" t="s">
        <v>60</v>
      </c>
      <c r="B14">
        <v>0.60158342481017735</v>
      </c>
      <c r="C14">
        <v>-0.57122704484102715</v>
      </c>
    </row>
    <row r="15" spans="1:3" x14ac:dyDescent="0.3">
      <c r="A15" t="s">
        <v>62</v>
      </c>
      <c r="B15">
        <v>-0.42289527882695216</v>
      </c>
      <c r="C15">
        <v>-1.8338450654629463</v>
      </c>
    </row>
    <row r="16" spans="1:3" x14ac:dyDescent="0.3">
      <c r="A16" t="s">
        <v>64</v>
      </c>
      <c r="B16">
        <v>1.6975373868405867</v>
      </c>
      <c r="C16">
        <v>0.4546500969142796</v>
      </c>
    </row>
    <row r="17" spans="1:3" x14ac:dyDescent="0.3">
      <c r="A17" t="s">
        <v>66</v>
      </c>
      <c r="B17">
        <v>-1.1455895581368607</v>
      </c>
      <c r="C17">
        <v>-0.25557253968554622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OPIS</vt:lpstr>
      <vt:lpstr>dochod_os</vt:lpstr>
      <vt:lpstr>liczba_os</vt:lpstr>
      <vt:lpstr>pow_os_m2</vt:lpstr>
      <vt:lpstr>euklides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Skinder</dc:creator>
  <cp:lastModifiedBy>Damian Skinder, s195586</cp:lastModifiedBy>
  <dcterms:created xsi:type="dcterms:W3CDTF">2026-04-30T15:53:09Z</dcterms:created>
  <dcterms:modified xsi:type="dcterms:W3CDTF">2026-04-30T18:03:21Z</dcterms:modified>
</cp:coreProperties>
</file>